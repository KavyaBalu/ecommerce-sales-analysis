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vya\OneDrive\Desktop\ecommerce-sales-analysis\"/>
    </mc:Choice>
  </mc:AlternateContent>
  <xr:revisionPtr revIDLastSave="0" documentId="13_ncr:1_{C12B1004-EDE1-4E10-951E-EB9D3CD6E1D0}" xr6:coauthVersionLast="47" xr6:coauthVersionMax="47" xr10:uidLastSave="{00000000-0000-0000-0000-000000000000}"/>
  <bookViews>
    <workbookView xWindow="12135" yWindow="0" windowWidth="16050" windowHeight="15585" firstSheet="3" activeTab="4" xr2:uid="{72824441-3ECF-42E4-BA03-BA94AA4EA19E}"/>
  </bookViews>
  <sheets>
    <sheet name="Sales_By_City" sheetId="5" r:id="rId1"/>
    <sheet name="Sales_by_Channel" sheetId="6" r:id="rId2"/>
    <sheet name="ecommerce_sales" sheetId="1" r:id="rId3"/>
    <sheet name="Formula Analysis" sheetId="2" r:id="rId4"/>
    <sheet name="Dashboard" sheetId="3" r:id="rId5"/>
    <sheet name="sheet" sheetId="4" r:id="rId6"/>
  </sheet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1" l="1" a="1"/>
  <c r="N23" i="1" s="1"/>
  <c r="O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/>
  <c r="N9" i="1" a="1"/>
  <c r="N9" i="1"/>
  <c r="N10" i="1" a="1"/>
  <c r="N10" i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/>
  <c r="N17" i="1" a="1"/>
  <c r="N17" i="1"/>
  <c r="N18" i="1" a="1"/>
  <c r="N18" i="1"/>
  <c r="N19" i="1" a="1"/>
  <c r="N19" i="1" s="1"/>
  <c r="N20" i="1" a="1"/>
  <c r="N20" i="1" s="1"/>
  <c r="N21" i="1" a="1"/>
  <c r="N21" i="1" s="1"/>
  <c r="N22" i="1" a="1"/>
  <c r="N22" i="1" s="1"/>
  <c r="N24" i="1" a="1"/>
  <c r="N24" i="1"/>
  <c r="N25" i="1" a="1"/>
  <c r="N25" i="1"/>
  <c r="N26" i="1" a="1"/>
  <c r="N26" i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/>
  <c r="N33" i="1" a="1"/>
  <c r="N33" i="1"/>
  <c r="N34" i="1" a="1"/>
  <c r="N34" i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/>
  <c r="N41" i="1" a="1"/>
  <c r="N41" i="1"/>
  <c r="N2" i="1" a="1"/>
  <c r="N2" i="1" s="1"/>
  <c r="B6" i="2"/>
  <c r="B5" i="2"/>
  <c r="B4" i="2"/>
  <c r="B3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<sst xmlns="http://schemas.openxmlformats.org/spreadsheetml/2006/main" count="285" uniqueCount="128">
  <si>
    <t>order_id</t>
  </si>
  <si>
    <t>order_date</t>
  </si>
  <si>
    <t>customer_id</t>
  </si>
  <si>
    <t>city</t>
  </si>
  <si>
    <t>category</t>
  </si>
  <si>
    <t>product</t>
  </si>
  <si>
    <t>quantity</t>
  </si>
  <si>
    <t>unit_price_inr</t>
  </si>
  <si>
    <t>discount_rate</t>
  </si>
  <si>
    <t>sales_channel</t>
  </si>
  <si>
    <t>gross_sales_inr</t>
  </si>
  <si>
    <t>discount_amount_inr</t>
  </si>
  <si>
    <t>net_sales_inr</t>
  </si>
  <si>
    <t>ORD1001</t>
  </si>
  <si>
    <t>C001</t>
  </si>
  <si>
    <t>Kochi</t>
  </si>
  <si>
    <t>Electronics</t>
  </si>
  <si>
    <t>Wireless Mouse</t>
  </si>
  <si>
    <t>Online</t>
  </si>
  <si>
    <t>ORD1002</t>
  </si>
  <si>
    <t>C002</t>
  </si>
  <si>
    <t>Kollam</t>
  </si>
  <si>
    <t>Home</t>
  </si>
  <si>
    <t>Desk Lamp</t>
  </si>
  <si>
    <t>ORD1003</t>
  </si>
  <si>
    <t>C003</t>
  </si>
  <si>
    <t>Thiruvananthapuram</t>
  </si>
  <si>
    <t>Fashion</t>
  </si>
  <si>
    <t>Backpack</t>
  </si>
  <si>
    <t>Store</t>
  </si>
  <si>
    <t>ORD1004</t>
  </si>
  <si>
    <t>C004</t>
  </si>
  <si>
    <t>Keyboard</t>
  </si>
  <si>
    <t>ORD1005</t>
  </si>
  <si>
    <t>C005</t>
  </si>
  <si>
    <t>Alappuzha</t>
  </si>
  <si>
    <t>Water Bottle</t>
  </si>
  <si>
    <t>ORD1006</t>
  </si>
  <si>
    <t>C006</t>
  </si>
  <si>
    <t>T-shirt</t>
  </si>
  <si>
    <t>ORD1007</t>
  </si>
  <si>
    <t>USB-C Hub</t>
  </si>
  <si>
    <t>ORD1008</t>
  </si>
  <si>
    <t>C007</t>
  </si>
  <si>
    <t>Thrissur</t>
  </si>
  <si>
    <t>Office Chair</t>
  </si>
  <si>
    <t>ORD1009</t>
  </si>
  <si>
    <t>C008</t>
  </si>
  <si>
    <t>Sneakers</t>
  </si>
  <si>
    <t>ORD1010</t>
  </si>
  <si>
    <t>C009</t>
  </si>
  <si>
    <t>Kottayam</t>
  </si>
  <si>
    <t>Headphones</t>
  </si>
  <si>
    <t>ORD1011</t>
  </si>
  <si>
    <t>C010</t>
  </si>
  <si>
    <t>ORD1012</t>
  </si>
  <si>
    <t>ORD1013</t>
  </si>
  <si>
    <t>C011</t>
  </si>
  <si>
    <t>ORD1014</t>
  </si>
  <si>
    <t>C012</t>
  </si>
  <si>
    <t>ORD1015</t>
  </si>
  <si>
    <t>C013</t>
  </si>
  <si>
    <t>ORD1016</t>
  </si>
  <si>
    <t>C014</t>
  </si>
  <si>
    <t>ORD1017</t>
  </si>
  <si>
    <t>C015</t>
  </si>
  <si>
    <t>ORD1018</t>
  </si>
  <si>
    <t>ORD1019</t>
  </si>
  <si>
    <t>C016</t>
  </si>
  <si>
    <t>ORD1020</t>
  </si>
  <si>
    <t>C017</t>
  </si>
  <si>
    <t>ORD1021</t>
  </si>
  <si>
    <t>C018</t>
  </si>
  <si>
    <t>ORD1022</t>
  </si>
  <si>
    <t>ORD1023</t>
  </si>
  <si>
    <t>C019</t>
  </si>
  <si>
    <t>ORD1024</t>
  </si>
  <si>
    <t>C020</t>
  </si>
  <si>
    <t>ORD1025</t>
  </si>
  <si>
    <t>C021</t>
  </si>
  <si>
    <t>ORD1026</t>
  </si>
  <si>
    <t>C022</t>
  </si>
  <si>
    <t>ORD1027</t>
  </si>
  <si>
    <t>C023</t>
  </si>
  <si>
    <t>ORD1028</t>
  </si>
  <si>
    <t>C024</t>
  </si>
  <si>
    <t>ORD1029</t>
  </si>
  <si>
    <t>C025</t>
  </si>
  <si>
    <t>ORD1030</t>
  </si>
  <si>
    <t>C026</t>
  </si>
  <si>
    <t>ORD1031</t>
  </si>
  <si>
    <t>C027</t>
  </si>
  <si>
    <t>ORD1032</t>
  </si>
  <si>
    <t>C028</t>
  </si>
  <si>
    <t>ORD1033</t>
  </si>
  <si>
    <t>C029</t>
  </si>
  <si>
    <t>ORD1034</t>
  </si>
  <si>
    <t>C030</t>
  </si>
  <si>
    <t>ORD1035</t>
  </si>
  <si>
    <t>C031</t>
  </si>
  <si>
    <t>ORD1036</t>
  </si>
  <si>
    <t>C032</t>
  </si>
  <si>
    <t>ORD1037</t>
  </si>
  <si>
    <t>ORD1038</t>
  </si>
  <si>
    <t>C033</t>
  </si>
  <si>
    <t>ORD1039</t>
  </si>
  <si>
    <t>C034</t>
  </si>
  <si>
    <t>ORD1040</t>
  </si>
  <si>
    <t>C035</t>
  </si>
  <si>
    <t>Business Question</t>
  </si>
  <si>
    <t>Total net sales</t>
  </si>
  <si>
    <t>Kochi net sales</t>
  </si>
  <si>
    <t>Kochi Electronics sales</t>
  </si>
  <si>
    <t>Number of Kochi orders</t>
  </si>
  <si>
    <t>Kochi Electronics orders</t>
  </si>
  <si>
    <t>Formula / Result</t>
  </si>
  <si>
    <t>Sales Level</t>
  </si>
  <si>
    <t>Priority Order</t>
  </si>
  <si>
    <t>Review Flag</t>
  </si>
  <si>
    <t>Net Sales per Item</t>
  </si>
  <si>
    <t>E-Commerce Sales Dashboard</t>
  </si>
  <si>
    <t>Total Net Sales</t>
  </si>
  <si>
    <t>Top City</t>
  </si>
  <si>
    <t>Top Category</t>
  </si>
  <si>
    <t>Total Orders</t>
  </si>
  <si>
    <t>Row Labels</t>
  </si>
  <si>
    <t>Grand Total</t>
  </si>
  <si>
    <t>Sum of net_sales_inr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</si>
</sst>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[ecommerce_sales_analysis.xlsx]Sales_By_City!PivotTable1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Sales_By_City!$B$1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Sales_By_City!$A$2:$A$8</c:f>
              <c:strCache>
                <c:ptCount val="6"/>
                <c:pt idx="0">
                  <c:v>Alappuzha</c:v>
                </c:pt>
                <c:pt idx="1">
                  <c:v>Kochi</c:v>
                </c:pt>
                <c:pt idx="2">
                  <c:v>Kollam</c:v>
                </c:pt>
                <c:pt idx="3">
                  <c:v>Kottayam</c:v>
                </c:pt>
                <c:pt idx="4">
                  <c:v>Thiruvananthapuram</c:v>
                </c:pt>
                <c:pt idx="5">
                  <c:v>Thrissur</c:v>
                </c:pt>
              </c:strCache>
            </c:strRef>
          </c:cat>
          <c:val>
            <c:numRef>
              <c:f>Sales_By_City!$B$2:$B$8</c:f>
              <c:numCache>
                <c:formatCode>General</c:formatCode>
                <c:ptCount val="6"/>
                <c:pt idx="0">
                  <c:v>16749.2</c:v>
                </c:pt>
                <c:pt idx="1">
                  <c:v>28571.4</c:v>
                </c:pt>
                <c:pt idx="2">
                  <c:v>19907.05</c:v>
                </c:pt>
                <c:pt idx="3">
                  <c:v>24844.300000000003</c:v>
                </c:pt>
                <c:pt idx="4">
                  <c:v>10731.3</c:v>
                </c:pt>
                <c:pt idx="5">
                  <c:v>12227.25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A-4B4F-A104-A558A4E24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239407"/>
        <c:axId val="1166094031"/>
      </c:barChart>
      <c:catAx>
        <c:axId val="123223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94031"/>
        <c:crosses val="autoZero"/>
        <c:auto val="1"/>
        <c:lblAlgn val="ctr"/>
        <c:lblOffset val="100"/>
        <c:noMultiLvlLbl val="0"/>
      </c:catAx>
      <c:valAx>
        <c:axId val="11660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3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[ecommerce_sales_analysis.xlsx]Sales_by_Channel!PivotTable2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 Sales by Sales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Sales_by_Channel!$B$1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Sales_by_Channel!$A$2:$A$4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Sales_by_Channel!$B$2:$B$4</c:f>
              <c:numCache>
                <c:formatCode>General</c:formatCode>
                <c:ptCount val="2"/>
                <c:pt idx="0">
                  <c:v>64408.749999999993</c:v>
                </c:pt>
                <c:pt idx="1">
                  <c:v>48621.750000000015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7-44B8-9AAB-887D0D0EE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266783"/>
        <c:axId val="1166146351"/>
      </c:barChart>
      <c:catAx>
        <c:axId val="134426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146351"/>
        <c:crosses val="autoZero"/>
        <c:auto val="1"/>
        <c:lblAlgn val="ctr"/>
        <c:lblOffset val="100"/>
        <c:noMultiLvlLbl val="0"/>
      </c:catAx>
      <c:valAx>
        <c:axId val="11661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6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[ecommerce_sales_analysis.xlsx]Sales_By_City!PivotTable1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Sales_By_City!$B$1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Sales_By_City!$A$2:$A$8</c:f>
              <c:strCache>
                <c:ptCount val="6"/>
                <c:pt idx="0">
                  <c:v>Alappuzha</c:v>
                </c:pt>
                <c:pt idx="1">
                  <c:v>Kochi</c:v>
                </c:pt>
                <c:pt idx="2">
                  <c:v>Kollam</c:v>
                </c:pt>
                <c:pt idx="3">
                  <c:v>Kottayam</c:v>
                </c:pt>
                <c:pt idx="4">
                  <c:v>Thiruvananthapuram</c:v>
                </c:pt>
                <c:pt idx="5">
                  <c:v>Thrissur</c:v>
                </c:pt>
              </c:strCache>
            </c:strRef>
          </c:cat>
          <c:val>
            <c:numRef>
              <c:f>Sales_By_City!$B$2:$B$8</c:f>
              <c:numCache>
                <c:formatCode>General</c:formatCode>
                <c:ptCount val="6"/>
                <c:pt idx="0">
                  <c:v>16749.2</c:v>
                </c:pt>
                <c:pt idx="1">
                  <c:v>28571.4</c:v>
                </c:pt>
                <c:pt idx="2">
                  <c:v>19907.05</c:v>
                </c:pt>
                <c:pt idx="3">
                  <c:v>24844.300000000003</c:v>
                </c:pt>
                <c:pt idx="4">
                  <c:v>10731.3</c:v>
                </c:pt>
                <c:pt idx="5">
                  <c:v>12227.25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6-4414-998F-506B5D24E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239407"/>
        <c:axId val="1166094031"/>
      </c:barChart>
      <c:catAx>
        <c:axId val="123223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94031"/>
        <c:crosses val="autoZero"/>
        <c:auto val="1"/>
        <c:lblAlgn val="ctr"/>
        <c:lblOffset val="100"/>
        <c:noMultiLvlLbl val="0"/>
      </c:catAx>
      <c:valAx>
        <c:axId val="11660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3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[ecommerce_sales_analysis.xlsx]Sales_by_Channel!PivotTable2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 Sales by Sales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Sales_by_Channel!$B$1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Sales_by_Channel!$A$2:$A$4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Sales_by_Channel!$B$2:$B$4</c:f>
              <c:numCache>
                <c:formatCode>General</c:formatCode>
                <c:ptCount val="2"/>
                <c:pt idx="0">
                  <c:v>64408.749999999993</c:v>
                </c:pt>
                <c:pt idx="1">
                  <c:v>48621.750000000015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C-4E1F-BEB1-9CB70AB25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266783"/>
        <c:axId val="1166146351"/>
      </c:barChart>
      <c:catAx>
        <c:axId val="134426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146351"/>
        <c:crosses val="autoZero"/>
        <c:auto val="1"/>
        <c:lblAlgn val="ctr"/>
        <c:lblOffset val="100"/>
        <c:noMultiLvlLbl val="0"/>
      </c:catAx>
      <c:valAx>
        <c:axId val="11661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6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E17394-D243-2E98-ED41-86FBE9C5C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D60ECA-7107-7C78-8BC4-5B7C43B69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523875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6CF73-FBF8-4C56-9A9D-BD1574C96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523875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9AC883-D88E-4ED5-BABC-0D60EDC86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" refreshedDate="46311.85090972222" createdVersion="8" refreshedVersion="8" minRefreshableVersion="3" recordCount="40" xr:uid="{3343A794-FA5C-4BD1-9B93-CD8753B1273E}">
  <cacheSource type="worksheet">
    <worksheetSource ref="A1:Q41" sheet="ecommerce_sales"/>
  </cacheSource>
  <cacheFields count="17">
    <cacheField name="order_id" numFmtId="0">
      <sharedItems/>
    </cacheField>
    <cacheField name="order_date" numFmtId="14">
      <sharedItems containsSemiMixedTypes="0" containsNonDate="0" containsDate="1" containsString="0" minDate="2026-01-03T00:00:00" maxDate="2026-06-23T00:00:00"/>
    </cacheField>
    <cacheField name="customer_id" numFmtId="0">
      <sharedItems/>
    </cacheField>
    <cacheField name="city" numFmtId="0">
      <sharedItems count="6">
        <s v="Kochi"/>
        <s v="Kollam"/>
        <s v="Thiruvananthapuram"/>
        <s v="Alappuzha"/>
        <s v="Thrissur"/>
        <s v="Kottayam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_inr" numFmtId="0">
      <sharedItems containsSemiMixedTypes="0" containsString="0" containsNumber="1" containsInteger="1" minValue="399" maxValue="6499"/>
    </cacheField>
    <cacheField name="discount_rate" numFmtId="0">
      <sharedItems containsSemiMixedTypes="0" containsString="0" containsNumber="1" minValue="0" maxValue="0.1"/>
    </cacheField>
    <cacheField name="sales_channel" numFmtId="0">
      <sharedItems count="2">
        <s v="Online"/>
        <s v="Store"/>
      </sharedItems>
    </cacheField>
    <cacheField name="gross_sales_inr" numFmtId="0">
      <sharedItems containsSemiMixedTypes="0" containsString="0" containsNumber="1" containsInteger="1" minValue="798" maxValue="12998"/>
    </cacheField>
    <cacheField name="discount_amount_inr" numFmtId="0">
      <sharedItems containsSemiMixedTypes="0" containsString="0" containsNumber="1" minValue="0" maxValue="1299.8"/>
    </cacheField>
    <cacheField name="net_sales_inr" numFmtId="0">
      <sharedItems containsSemiMixedTypes="0" containsString="0" containsNumber="1" minValue="798" maxValue="11698.2"/>
    </cacheField>
    <cacheField name="Sales Level" numFmtId="0">
      <sharedItems/>
    </cacheField>
    <cacheField name="Priority Order" numFmtId="0">
      <sharedItems/>
    </cacheField>
    <cacheField name="Review Flag" numFmtId="0">
      <sharedItems/>
    </cacheField>
    <cacheField name="Net Sales per Item" numFmtId="0">
      <sharedItems containsSemiMixedTypes="0" containsString="0" containsNumber="1" minValue="359.1" maxValue="6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ORD1001"/>
    <d v="2026-01-03T00:00:00"/>
    <s v="C001"/>
    <x v="0"/>
    <s v="Electronics"/>
    <s v="Wireless Mouse"/>
    <n v="2"/>
    <n v="799"/>
    <n v="0"/>
    <x v="0"/>
    <n v="1598"/>
    <n v="0"/>
    <n v="1598"/>
    <s v="Medium"/>
    <s v="Priority"/>
    <s v="Normal"/>
    <n v="799"/>
  </r>
  <r>
    <s v="ORD1002"/>
    <d v="2026-01-04T00:00:00"/>
    <s v="C002"/>
    <x v="1"/>
    <s v="Home"/>
    <s v="Desk Lamp"/>
    <n v="1"/>
    <n v="1299"/>
    <n v="0.05"/>
    <x v="0"/>
    <n v="1299"/>
    <n v="64.95"/>
    <n v="1234.05"/>
    <s v="Low"/>
    <s v="Normal"/>
    <s v="Normal"/>
    <n v="1234.05"/>
  </r>
  <r>
    <s v="ORD1003"/>
    <d v="2026-01-06T00:00:00"/>
    <s v="C003"/>
    <x v="2"/>
    <s v="Fashion"/>
    <s v="Backpack"/>
    <n v="1"/>
    <n v="1499"/>
    <n v="0.1"/>
    <x v="1"/>
    <n v="1499"/>
    <n v="149.9"/>
    <n v="1349.1"/>
    <s v="Low"/>
    <s v="Normal"/>
    <s v="Review"/>
    <n v="1349.1"/>
  </r>
  <r>
    <s v="ORD1004"/>
    <d v="2026-01-10T00:00:00"/>
    <s v="C004"/>
    <x v="0"/>
    <s v="Electronics"/>
    <s v="Keyboard"/>
    <n v="1"/>
    <n v="1899"/>
    <n v="0"/>
    <x v="0"/>
    <n v="1899"/>
    <n v="0"/>
    <n v="1899"/>
    <s v="Medium"/>
    <s v="Priority"/>
    <s v="Normal"/>
    <n v="1899"/>
  </r>
  <r>
    <s v="ORD1005"/>
    <d v="2026-01-12T00:00:00"/>
    <s v="C005"/>
    <x v="3"/>
    <s v="Home"/>
    <s v="Water Bottle"/>
    <n v="3"/>
    <n v="399"/>
    <n v="0"/>
    <x v="1"/>
    <n v="1197"/>
    <n v="0"/>
    <n v="1197"/>
    <s v="Low"/>
    <s v="Normal"/>
    <s v="Review"/>
    <n v="399"/>
  </r>
  <r>
    <s v="ORD1006"/>
    <d v="2026-01-16T00:00:00"/>
    <s v="C006"/>
    <x v="1"/>
    <s v="Fashion"/>
    <s v="T-shirt"/>
    <n v="2"/>
    <n v="599"/>
    <n v="0.05"/>
    <x v="0"/>
    <n v="1198"/>
    <n v="59.9"/>
    <n v="1138.0999999999999"/>
    <s v="Low"/>
    <s v="Normal"/>
    <s v="Normal"/>
    <n v="569.04999999999995"/>
  </r>
  <r>
    <s v="ORD1007"/>
    <d v="2026-01-20T00:00:00"/>
    <s v="C001"/>
    <x v="0"/>
    <s v="Electronics"/>
    <s v="USB-C Hub"/>
    <n v="1"/>
    <n v="2199"/>
    <n v="0.1"/>
    <x v="0"/>
    <n v="2199"/>
    <n v="219.9"/>
    <n v="1979.1"/>
    <s v="Medium"/>
    <s v="Priority"/>
    <s v="Normal"/>
    <n v="1979.1"/>
  </r>
  <r>
    <s v="ORD1008"/>
    <d v="2026-01-25T00:00:00"/>
    <s v="C007"/>
    <x v="4"/>
    <s v="Home"/>
    <s v="Office Chair"/>
    <n v="1"/>
    <n v="6499"/>
    <n v="0.05"/>
    <x v="1"/>
    <n v="6499"/>
    <n v="324.95"/>
    <n v="6174.05"/>
    <s v="High"/>
    <s v="Normal"/>
    <s v="Review"/>
    <n v="6174.05"/>
  </r>
  <r>
    <s v="ORD1009"/>
    <d v="2026-02-02T00:00:00"/>
    <s v="C008"/>
    <x v="0"/>
    <s v="Fashion"/>
    <s v="Sneakers"/>
    <n v="1"/>
    <n v="2999"/>
    <n v="0"/>
    <x v="0"/>
    <n v="2999"/>
    <n v="0"/>
    <n v="2999"/>
    <s v="Medium"/>
    <s v="Priority"/>
    <s v="Normal"/>
    <n v="2999"/>
  </r>
  <r>
    <s v="ORD1010"/>
    <d v="2026-02-05T00:00:00"/>
    <s v="C009"/>
    <x v="5"/>
    <s v="Electronics"/>
    <s v="Headphones"/>
    <n v="1"/>
    <n v="2499"/>
    <n v="0.1"/>
    <x v="0"/>
    <n v="2499"/>
    <n v="249.9"/>
    <n v="2249.1"/>
    <s v="Medium"/>
    <s v="Priority"/>
    <s v="Normal"/>
    <n v="2249.1"/>
  </r>
  <r>
    <s v="ORD1011"/>
    <d v="2026-02-08T00:00:00"/>
    <s v="C010"/>
    <x v="3"/>
    <s v="Home"/>
    <s v="Desk Lamp"/>
    <n v="2"/>
    <n v="1299"/>
    <n v="0"/>
    <x v="1"/>
    <n v="2598"/>
    <n v="0"/>
    <n v="2598"/>
    <s v="Medium"/>
    <s v="Normal"/>
    <s v="Review"/>
    <n v="1299"/>
  </r>
  <r>
    <s v="ORD1012"/>
    <d v="2026-02-11T00:00:00"/>
    <s v="C003"/>
    <x v="2"/>
    <s v="Fashion"/>
    <s v="Backpack"/>
    <n v="2"/>
    <n v="1499"/>
    <n v="0.05"/>
    <x v="0"/>
    <n v="2998"/>
    <n v="149.9"/>
    <n v="2848.1"/>
    <s v="Medium"/>
    <s v="Priority"/>
    <s v="Normal"/>
    <n v="1424.05"/>
  </r>
  <r>
    <s v="ORD1013"/>
    <d v="2026-02-14T00:00:00"/>
    <s v="C011"/>
    <x v="0"/>
    <s v="Electronics"/>
    <s v="Wireless Mouse"/>
    <n v="1"/>
    <n v="799"/>
    <n v="0"/>
    <x v="1"/>
    <n v="799"/>
    <n v="0"/>
    <n v="799"/>
    <s v="Low"/>
    <s v="Normal"/>
    <s v="Review"/>
    <n v="799"/>
  </r>
  <r>
    <s v="ORD1014"/>
    <d v="2026-02-18T00:00:00"/>
    <s v="C012"/>
    <x v="1"/>
    <s v="Home"/>
    <s v="Water Bottle"/>
    <n v="4"/>
    <n v="399"/>
    <n v="0.1"/>
    <x v="0"/>
    <n v="1596"/>
    <n v="159.6"/>
    <n v="1436.4"/>
    <s v="Low"/>
    <s v="Normal"/>
    <s v="Normal"/>
    <n v="359.1"/>
  </r>
  <r>
    <s v="ORD1015"/>
    <d v="2026-02-22T00:00:00"/>
    <s v="C013"/>
    <x v="4"/>
    <s v="Fashion"/>
    <s v="T-shirt"/>
    <n v="3"/>
    <n v="599"/>
    <n v="0"/>
    <x v="0"/>
    <n v="1797"/>
    <n v="0"/>
    <n v="1797"/>
    <s v="Medium"/>
    <s v="Priority"/>
    <s v="Normal"/>
    <n v="599"/>
  </r>
  <r>
    <s v="ORD1016"/>
    <d v="2026-03-01T00:00:00"/>
    <s v="C014"/>
    <x v="0"/>
    <s v="Electronics"/>
    <s v="Keyboard"/>
    <n v="2"/>
    <n v="1899"/>
    <n v="0.05"/>
    <x v="0"/>
    <n v="3798"/>
    <n v="189.9"/>
    <n v="3608.1"/>
    <s v="High"/>
    <s v="Priority"/>
    <s v="Review"/>
    <n v="1804.05"/>
  </r>
  <r>
    <s v="ORD1017"/>
    <d v="2026-03-04T00:00:00"/>
    <s v="C015"/>
    <x v="5"/>
    <s v="Home"/>
    <s v="Office Chair"/>
    <n v="1"/>
    <n v="6499"/>
    <n v="0"/>
    <x v="1"/>
    <n v="6499"/>
    <n v="0"/>
    <n v="6499"/>
    <s v="High"/>
    <s v="Normal"/>
    <s v="Review"/>
    <n v="6499"/>
  </r>
  <r>
    <s v="ORD1018"/>
    <d v="2026-03-07T00:00:00"/>
    <s v="C002"/>
    <x v="1"/>
    <s v="Fashion"/>
    <s v="Sneakers"/>
    <n v="1"/>
    <n v="2999"/>
    <n v="0.1"/>
    <x v="0"/>
    <n v="2999"/>
    <n v="299.89999999999998"/>
    <n v="2699.1"/>
    <s v="Medium"/>
    <s v="Priority"/>
    <s v="Normal"/>
    <n v="2699.1"/>
  </r>
  <r>
    <s v="ORD1019"/>
    <d v="2026-03-11T00:00:00"/>
    <s v="C016"/>
    <x v="3"/>
    <s v="Electronics"/>
    <s v="Headphones"/>
    <n v="2"/>
    <n v="2499"/>
    <n v="0.05"/>
    <x v="0"/>
    <n v="4998"/>
    <n v="249.9"/>
    <n v="4748.1000000000004"/>
    <s v="High"/>
    <s v="Priority"/>
    <s v="Review"/>
    <n v="2374.0500000000002"/>
  </r>
  <r>
    <s v="ORD1020"/>
    <d v="2026-03-15T00:00:00"/>
    <s v="C017"/>
    <x v="0"/>
    <s v="Home"/>
    <s v="Desk Lamp"/>
    <n v="1"/>
    <n v="1299"/>
    <n v="0"/>
    <x v="1"/>
    <n v="1299"/>
    <n v="0"/>
    <n v="1299"/>
    <s v="Low"/>
    <s v="Normal"/>
    <s v="Review"/>
    <n v="1299"/>
  </r>
  <r>
    <s v="ORD1021"/>
    <d v="2026-03-19T00:00:00"/>
    <s v="C018"/>
    <x v="2"/>
    <s v="Fashion"/>
    <s v="T-shirt"/>
    <n v="2"/>
    <n v="599"/>
    <n v="0.05"/>
    <x v="0"/>
    <n v="1198"/>
    <n v="59.9"/>
    <n v="1138.0999999999999"/>
    <s v="Low"/>
    <s v="Normal"/>
    <s v="Normal"/>
    <n v="569.04999999999995"/>
  </r>
  <r>
    <s v="ORD1022"/>
    <d v="2026-03-23T00:00:00"/>
    <s v="C005"/>
    <x v="3"/>
    <s v="Home"/>
    <s v="Water Bottle"/>
    <n v="2"/>
    <n v="399"/>
    <n v="0"/>
    <x v="0"/>
    <n v="798"/>
    <n v="0"/>
    <n v="798"/>
    <s v="Low"/>
    <s v="Normal"/>
    <s v="Normal"/>
    <n v="399"/>
  </r>
  <r>
    <s v="ORD1023"/>
    <d v="2026-03-26T00:00:00"/>
    <s v="C019"/>
    <x v="1"/>
    <s v="Electronics"/>
    <s v="USB-C Hub"/>
    <n v="1"/>
    <n v="2199"/>
    <n v="0"/>
    <x v="1"/>
    <n v="2199"/>
    <n v="0"/>
    <n v="2199"/>
    <s v="Medium"/>
    <s v="Normal"/>
    <s v="Review"/>
    <n v="2199"/>
  </r>
  <r>
    <s v="ORD1024"/>
    <d v="2026-03-29T00:00:00"/>
    <s v="C020"/>
    <x v="4"/>
    <s v="Fashion"/>
    <s v="Backpack"/>
    <n v="1"/>
    <n v="1499"/>
    <n v="0.1"/>
    <x v="0"/>
    <n v="1499"/>
    <n v="149.9"/>
    <n v="1349.1"/>
    <s v="Low"/>
    <s v="Normal"/>
    <s v="Normal"/>
    <n v="1349.1"/>
  </r>
  <r>
    <s v="ORD1025"/>
    <d v="2026-04-02T00:00:00"/>
    <s v="C021"/>
    <x v="0"/>
    <s v="Electronics"/>
    <s v="Headphones"/>
    <n v="1"/>
    <n v="2499"/>
    <n v="0"/>
    <x v="0"/>
    <n v="2499"/>
    <n v="0"/>
    <n v="2499"/>
    <s v="Medium"/>
    <s v="Priority"/>
    <s v="Normal"/>
    <n v="2499"/>
  </r>
  <r>
    <s v="ORD1026"/>
    <d v="2026-04-06T00:00:00"/>
    <s v="C022"/>
    <x v="5"/>
    <s v="Home"/>
    <s v="Office Chair"/>
    <n v="2"/>
    <n v="6499"/>
    <n v="0.1"/>
    <x v="1"/>
    <n v="12998"/>
    <n v="1299.8"/>
    <n v="11698.2"/>
    <s v="High"/>
    <s v="Normal"/>
    <s v="Review"/>
    <n v="5849.1"/>
  </r>
  <r>
    <s v="ORD1027"/>
    <d v="2026-04-10T00:00:00"/>
    <s v="C023"/>
    <x v="1"/>
    <s v="Fashion"/>
    <s v="Sneakers"/>
    <n v="2"/>
    <n v="2999"/>
    <n v="0.05"/>
    <x v="0"/>
    <n v="5998"/>
    <n v="299.89999999999998"/>
    <n v="5698.1"/>
    <s v="High"/>
    <s v="Priority"/>
    <s v="Review"/>
    <n v="2849.05"/>
  </r>
  <r>
    <s v="ORD1028"/>
    <d v="2026-04-13T00:00:00"/>
    <s v="C024"/>
    <x v="2"/>
    <s v="Electronics"/>
    <s v="Wireless Mouse"/>
    <n v="3"/>
    <n v="799"/>
    <n v="0"/>
    <x v="0"/>
    <n v="2397"/>
    <n v="0"/>
    <n v="2397"/>
    <s v="Medium"/>
    <s v="Priority"/>
    <s v="Normal"/>
    <n v="799"/>
  </r>
  <r>
    <s v="ORD1029"/>
    <d v="2026-04-18T00:00:00"/>
    <s v="C025"/>
    <x v="3"/>
    <s v="Home"/>
    <s v="Desk Lamp"/>
    <n v="1"/>
    <n v="1299"/>
    <n v="0.05"/>
    <x v="1"/>
    <n v="1299"/>
    <n v="64.95"/>
    <n v="1234.05"/>
    <s v="Low"/>
    <s v="Normal"/>
    <s v="Review"/>
    <n v="1234.05"/>
  </r>
  <r>
    <s v="ORD1030"/>
    <d v="2026-04-22T00:00:00"/>
    <s v="C026"/>
    <x v="0"/>
    <s v="Fashion"/>
    <s v="T-shirt"/>
    <n v="4"/>
    <n v="599"/>
    <n v="0"/>
    <x v="0"/>
    <n v="2396"/>
    <n v="0"/>
    <n v="2396"/>
    <s v="Medium"/>
    <s v="Priority"/>
    <s v="Normal"/>
    <n v="599"/>
  </r>
  <r>
    <s v="ORD1031"/>
    <d v="2026-05-01T00:00:00"/>
    <s v="C027"/>
    <x v="4"/>
    <s v="Electronics"/>
    <s v="Keyboard"/>
    <n v="1"/>
    <n v="1899"/>
    <n v="0.1"/>
    <x v="0"/>
    <n v="1899"/>
    <n v="189.9"/>
    <n v="1709.1"/>
    <s v="Medium"/>
    <s v="Priority"/>
    <s v="Normal"/>
    <n v="1709.1"/>
  </r>
  <r>
    <s v="ORD1032"/>
    <d v="2026-05-05T00:00:00"/>
    <s v="C028"/>
    <x v="1"/>
    <s v="Home"/>
    <s v="Water Bottle"/>
    <n v="5"/>
    <n v="399"/>
    <n v="0"/>
    <x v="1"/>
    <n v="1995"/>
    <n v="0"/>
    <n v="1995"/>
    <s v="Medium"/>
    <s v="Normal"/>
    <s v="Review"/>
    <n v="399"/>
  </r>
  <r>
    <s v="ORD1033"/>
    <d v="2026-05-09T00:00:00"/>
    <s v="C029"/>
    <x v="0"/>
    <s v="Fashion"/>
    <s v="Backpack"/>
    <n v="2"/>
    <n v="1499"/>
    <n v="0.05"/>
    <x v="0"/>
    <n v="2998"/>
    <n v="149.9"/>
    <n v="2848.1"/>
    <s v="Medium"/>
    <s v="Priority"/>
    <s v="Normal"/>
    <n v="1424.05"/>
  </r>
  <r>
    <s v="ORD1034"/>
    <d v="2026-05-14T00:00:00"/>
    <s v="C030"/>
    <x v="5"/>
    <s v="Electronics"/>
    <s v="USB-C Hub"/>
    <n v="2"/>
    <n v="2199"/>
    <n v="0"/>
    <x v="0"/>
    <n v="4398"/>
    <n v="0"/>
    <n v="4398"/>
    <s v="High"/>
    <s v="Priority"/>
    <s v="Review"/>
    <n v="2199"/>
  </r>
  <r>
    <s v="ORD1035"/>
    <d v="2026-05-20T00:00:00"/>
    <s v="C031"/>
    <x v="3"/>
    <s v="Home"/>
    <s v="Office Chair"/>
    <n v="1"/>
    <n v="6499"/>
    <n v="0.05"/>
    <x v="1"/>
    <n v="6499"/>
    <n v="324.95"/>
    <n v="6174.05"/>
    <s v="High"/>
    <s v="Normal"/>
    <s v="Review"/>
    <n v="6174.05"/>
  </r>
  <r>
    <s v="ORD1036"/>
    <d v="2026-06-02T00:00:00"/>
    <s v="C032"/>
    <x v="2"/>
    <s v="Fashion"/>
    <s v="Sneakers"/>
    <n v="1"/>
    <n v="2999"/>
    <n v="0"/>
    <x v="0"/>
    <n v="2999"/>
    <n v="0"/>
    <n v="2999"/>
    <s v="Medium"/>
    <s v="Priority"/>
    <s v="Normal"/>
    <n v="2999"/>
  </r>
  <r>
    <s v="ORD1037"/>
    <d v="2026-06-06T00:00:00"/>
    <s v="C001"/>
    <x v="0"/>
    <s v="Electronics"/>
    <s v="Headphones"/>
    <n v="2"/>
    <n v="2499"/>
    <n v="0.05"/>
    <x v="0"/>
    <n v="4998"/>
    <n v="249.9"/>
    <n v="4748.1000000000004"/>
    <s v="High"/>
    <s v="Priority"/>
    <s v="Review"/>
    <n v="2374.0500000000002"/>
  </r>
  <r>
    <s v="ORD1038"/>
    <d v="2026-06-10T00:00:00"/>
    <s v="C033"/>
    <x v="1"/>
    <s v="Home"/>
    <s v="Desk Lamp"/>
    <n v="3"/>
    <n v="1299"/>
    <n v="0.1"/>
    <x v="1"/>
    <n v="3897"/>
    <n v="389.7"/>
    <n v="3507.3"/>
    <s v="High"/>
    <s v="Normal"/>
    <s v="Review"/>
    <n v="1169.1000000000001"/>
  </r>
  <r>
    <s v="ORD1039"/>
    <d v="2026-06-16T00:00:00"/>
    <s v="C034"/>
    <x v="4"/>
    <s v="Fashion"/>
    <s v="T-shirt"/>
    <n v="2"/>
    <n v="599"/>
    <n v="0"/>
    <x v="0"/>
    <n v="1198"/>
    <n v="0"/>
    <n v="1198"/>
    <s v="Low"/>
    <s v="Normal"/>
    <s v="Normal"/>
    <n v="599"/>
  </r>
  <r>
    <s v="ORD1040"/>
    <d v="2026-06-22T00:00:00"/>
    <s v="C035"/>
    <x v="0"/>
    <s v="Electronics"/>
    <s v="Keyboard"/>
    <n v="1"/>
    <n v="1899"/>
    <n v="0"/>
    <x v="1"/>
    <n v="1899"/>
    <n v="0"/>
    <n v="1899"/>
    <s v="Medium"/>
    <s v="Normal"/>
    <s v="Review"/>
    <n v="1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370D9-942D-4F96-8738-1FB61D9ADF9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8" firstHeaderRow="1" firstDataRow="1" firstDataCol="1"/>
  <pivotFields count="17">
    <pivotField showAll="0"/>
    <pivotField numFmtId="14" showAll="0"/>
    <pivotField showAll="0"/>
    <pivotField axis="axisRow" showAll="0">
      <items count="7">
        <item x="3"/>
        <item x="0"/>
        <item x="1"/>
        <item x="5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_sales_inr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DD545-8778-4E9A-85D5-276819F3073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net_sales_inr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7883-973F-41D1-B465-8BD63BCA6C2E}">
  <dimension ref="A1:B8"/>
  <sheetViews>
    <sheetView topLeftCell="C1" workbookViewId="0">
      <selection activeCell="M8" sqref="M8"/>
    </sheetView>
  </sheetViews>
  <sheetFormatPr defaultRowHeight="15"/>
  <cols>
    <col min="1" max="2" width="19.7109375" bestFit="1" customWidth="1"/>
  </cols>
  <sheetData>
    <row r="1" spans="1:2">
      <c r="A1" s="5" t="s">
        <v>125</v>
      </c>
      <c r="B1" t="s">
        <v>127</v>
      </c>
    </row>
    <row r="2" spans="1:2">
      <c r="A2" s="6" t="s">
        <v>35</v>
      </c>
      <c r="B2" s="7">
        <v>16749.2</v>
      </c>
    </row>
    <row r="3" spans="1:2">
      <c r="A3" s="6" t="s">
        <v>15</v>
      </c>
      <c r="B3" s="7">
        <v>28571.4</v>
      </c>
    </row>
    <row r="4" spans="1:2">
      <c r="A4" s="6" t="s">
        <v>21</v>
      </c>
      <c r="B4" s="7">
        <v>19907.05</v>
      </c>
    </row>
    <row r="5" spans="1:2">
      <c r="A5" s="6" t="s">
        <v>51</v>
      </c>
      <c r="B5" s="7">
        <v>24844.300000000003</v>
      </c>
    </row>
    <row r="6" spans="1:2">
      <c r="A6" s="6" t="s">
        <v>26</v>
      </c>
      <c r="B6" s="7">
        <v>10731.3</v>
      </c>
    </row>
    <row r="7" spans="1:2">
      <c r="A7" s="6" t="s">
        <v>44</v>
      </c>
      <c r="B7" s="7">
        <v>12227.25</v>
      </c>
    </row>
    <row r="8" spans="1:2">
      <c r="A8" s="6" t="s">
        <v>126</v>
      </c>
      <c r="B8" s="7">
        <v>113030.50000000001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9AF8-2824-45E9-80C7-D6031262A8D6}">
  <dimension ref="A1:B4"/>
  <sheetViews>
    <sheetView workbookViewId="0">
      <selection activeCell="B20" sqref="B20"/>
    </sheetView>
  </sheetViews>
  <sheetFormatPr defaultRowHeight="15"/>
  <cols>
    <col min="1" max="1" width="13.140625" bestFit="1" customWidth="1"/>
    <col min="2" max="2" width="19.7109375" bestFit="1" customWidth="1"/>
  </cols>
  <sheetData>
    <row r="1" spans="1:2">
      <c r="A1" s="5" t="s">
        <v>125</v>
      </c>
      <c r="B1" t="s">
        <v>127</v>
      </c>
    </row>
    <row r="2" spans="1:2">
      <c r="A2" s="6" t="s">
        <v>18</v>
      </c>
      <c r="B2" s="7">
        <v>64408.749999999993</v>
      </c>
    </row>
    <row r="3" spans="1:2">
      <c r="A3" s="6" t="s">
        <v>29</v>
      </c>
      <c r="B3" s="7">
        <v>48621.750000000015</v>
      </c>
    </row>
    <row r="4" spans="1:2">
      <c r="A4" s="6" t="s">
        <v>126</v>
      </c>
      <c r="B4" s="7">
        <v>113030.5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01BB-A888-480F-94BC-F0F445410159}">
  <dimension ref="A1:Q41"/>
  <sheetViews>
    <sheetView workbookViewId="0">
      <selection activeCell="D25" sqref="D25"/>
    </sheetView>
  </sheetViews>
  <sheetFormatPr defaultRowHeight="15"/>
  <cols>
    <col min="13" max="13" width="13.140625" customWidth="1"/>
    <col min="14" max="14" width="18.42578125" customWidth="1"/>
    <col min="15" max="15" width="19.5703125" customWidth="1"/>
    <col min="16" max="16" width="13.7109375" customWidth="1"/>
    <col min="17" max="17" width="16.8554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116</v>
      </c>
      <c r="O1" t="s">
        <v>117</v>
      </c>
      <c r="P1" t="s">
        <v>118</v>
      </c>
      <c r="Q1" t="s">
        <v>119</v>
      </c>
    </row>
    <row r="2" spans="1:17">
      <c r="A2" t="s">
        <v>13</v>
      </c>
      <c r="B2" s="1">
        <v>46025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>
        <v>799</v>
      </c>
      <c r="I2">
        <v>0</v>
      </c>
      <c r="J2" t="s">
        <v>18</v>
      </c>
      <c r="K2">
        <v>1598</v>
      </c>
      <c r="L2">
        <v>0</v>
      </c>
      <c r="M2">
        <v>1598</v>
      </c>
      <c r="N2" t="str" cm="1">
        <f t="array" ref="N2">_xlfn.IFS(M2&gt;=3000,"High",M2&gt;=1500,"Medium",TRUE,"Low")</f>
        <v>Medium</v>
      </c>
      <c r="O2" t="str">
        <f>IF(AND(M2&gt;=S91500,J2="Online"),"Priority","Normal")</f>
        <v>Priority</v>
      </c>
      <c r="P2" t="str">
        <f>IF(OR(M2&gt;=3000,J2="Store"),"Review","Normal")</f>
        <v>Normal</v>
      </c>
      <c r="Q2">
        <f>IFERROR(M2/G2,"Check data")</f>
        <v>799</v>
      </c>
    </row>
    <row r="3" spans="1:17">
      <c r="A3" t="s">
        <v>19</v>
      </c>
      <c r="B3" s="1">
        <v>46026</v>
      </c>
      <c r="C3" t="s">
        <v>20</v>
      </c>
      <c r="D3" t="s">
        <v>21</v>
      </c>
      <c r="E3" t="s">
        <v>22</v>
      </c>
      <c r="F3" t="s">
        <v>23</v>
      </c>
      <c r="G3">
        <v>1</v>
      </c>
      <c r="H3">
        <v>1299</v>
      </c>
      <c r="I3">
        <v>0.05</v>
      </c>
      <c r="J3" t="s">
        <v>18</v>
      </c>
      <c r="K3">
        <v>1299</v>
      </c>
      <c r="L3">
        <v>64.95</v>
      </c>
      <c r="M3">
        <v>1234.05</v>
      </c>
      <c r="N3" t="str" cm="1">
        <f t="array" ref="N3">_xlfn.IFS(M3&gt;=3000,"High",M3&gt;=1500,"Medium",TRUE,"Low")</f>
        <v>Low</v>
      </c>
      <c r="O3" t="str">
        <f t="shared" ref="O3:O41" si="0">IF(AND(M3&gt;=1500,J3="Online"),"Priority","Normal")</f>
        <v>Normal</v>
      </c>
      <c r="P3" t="str">
        <f t="shared" ref="P3:P41" si="1">IF(OR(M3&gt;=3000,J3="Store"),"Review","Normal")</f>
        <v>Normal</v>
      </c>
      <c r="Q3">
        <f t="shared" ref="Q3:Q41" si="2">IFERROR(M3/G3,"Check data")</f>
        <v>1234.05</v>
      </c>
    </row>
    <row r="4" spans="1:17">
      <c r="A4" t="s">
        <v>24</v>
      </c>
      <c r="B4" s="1">
        <v>46028</v>
      </c>
      <c r="C4" t="s">
        <v>25</v>
      </c>
      <c r="D4" t="s">
        <v>26</v>
      </c>
      <c r="E4" t="s">
        <v>27</v>
      </c>
      <c r="F4" t="s">
        <v>28</v>
      </c>
      <c r="G4">
        <v>1</v>
      </c>
      <c r="H4">
        <v>1499</v>
      </c>
      <c r="I4">
        <v>0.1</v>
      </c>
      <c r="J4" t="s">
        <v>29</v>
      </c>
      <c r="K4">
        <v>1499</v>
      </c>
      <c r="L4">
        <v>149.9</v>
      </c>
      <c r="M4">
        <v>1349.1</v>
      </c>
      <c r="N4" t="str" cm="1">
        <f t="array" ref="N4">_xlfn.IFS(M4&gt;=3000,"High",M4&gt;=1500,"Medium",TRUE,"Low")</f>
        <v>Low</v>
      </c>
      <c r="O4" t="str">
        <f t="shared" si="0"/>
        <v>Normal</v>
      </c>
      <c r="P4" t="str">
        <f t="shared" si="1"/>
        <v>Review</v>
      </c>
      <c r="Q4">
        <f t="shared" si="2"/>
        <v>1349.1</v>
      </c>
    </row>
    <row r="5" spans="1:17">
      <c r="A5" t="s">
        <v>30</v>
      </c>
      <c r="B5" s="1">
        <v>46032</v>
      </c>
      <c r="C5" t="s">
        <v>31</v>
      </c>
      <c r="D5" t="s">
        <v>15</v>
      </c>
      <c r="E5" t="s">
        <v>16</v>
      </c>
      <c r="F5" t="s">
        <v>32</v>
      </c>
      <c r="G5">
        <v>1</v>
      </c>
      <c r="H5">
        <v>1899</v>
      </c>
      <c r="I5">
        <v>0</v>
      </c>
      <c r="J5" t="s">
        <v>18</v>
      </c>
      <c r="K5">
        <v>1899</v>
      </c>
      <c r="L5">
        <v>0</v>
      </c>
      <c r="M5">
        <v>1899</v>
      </c>
      <c r="N5" t="str" cm="1">
        <f t="array" ref="N5">_xlfn.IFS(M5&gt;=3000,"High",M5&gt;=1500,"Medium",TRUE,"Low")</f>
        <v>Medium</v>
      </c>
      <c r="O5" t="str">
        <f t="shared" si="0"/>
        <v>Priority</v>
      </c>
      <c r="P5" t="str">
        <f t="shared" si="1"/>
        <v>Normal</v>
      </c>
      <c r="Q5">
        <f t="shared" si="2"/>
        <v>1899</v>
      </c>
    </row>
    <row r="6" spans="1:17">
      <c r="A6" t="s">
        <v>33</v>
      </c>
      <c r="B6" s="1">
        <v>46034</v>
      </c>
      <c r="C6" t="s">
        <v>34</v>
      </c>
      <c r="D6" t="s">
        <v>35</v>
      </c>
      <c r="E6" t="s">
        <v>22</v>
      </c>
      <c r="F6" t="s">
        <v>36</v>
      </c>
      <c r="G6">
        <v>3</v>
      </c>
      <c r="H6">
        <v>399</v>
      </c>
      <c r="I6">
        <v>0</v>
      </c>
      <c r="J6" t="s">
        <v>29</v>
      </c>
      <c r="K6">
        <v>1197</v>
      </c>
      <c r="L6">
        <v>0</v>
      </c>
      <c r="M6">
        <v>1197</v>
      </c>
      <c r="N6" t="str" cm="1">
        <f t="array" ref="N6">_xlfn.IFS(M6&gt;=3000,"High",M6&gt;=1500,"Medium",TRUE,"Low")</f>
        <v>Low</v>
      </c>
      <c r="O6" t="str">
        <f t="shared" si="0"/>
        <v>Normal</v>
      </c>
      <c r="P6" t="str">
        <f t="shared" si="1"/>
        <v>Review</v>
      </c>
      <c r="Q6">
        <f t="shared" si="2"/>
        <v>399</v>
      </c>
    </row>
    <row r="7" spans="1:17">
      <c r="A7" t="s">
        <v>37</v>
      </c>
      <c r="B7" s="1">
        <v>46038</v>
      </c>
      <c r="C7" t="s">
        <v>38</v>
      </c>
      <c r="D7" t="s">
        <v>21</v>
      </c>
      <c r="E7" t="s">
        <v>27</v>
      </c>
      <c r="F7" t="s">
        <v>39</v>
      </c>
      <c r="G7">
        <v>2</v>
      </c>
      <c r="H7">
        <v>599</v>
      </c>
      <c r="I7">
        <v>0.05</v>
      </c>
      <c r="J7" t="s">
        <v>18</v>
      </c>
      <c r="K7">
        <v>1198</v>
      </c>
      <c r="L7">
        <v>59.9</v>
      </c>
      <c r="M7">
        <v>1138.0999999999999</v>
      </c>
      <c r="N7" t="str" cm="1">
        <f t="array" ref="N7">_xlfn.IFS(M7&gt;=3000,"High",M7&gt;=1500,"Medium",TRUE,"Low")</f>
        <v>Low</v>
      </c>
      <c r="O7" t="str">
        <f t="shared" si="0"/>
        <v>Normal</v>
      </c>
      <c r="P7" t="str">
        <f t="shared" si="1"/>
        <v>Normal</v>
      </c>
      <c r="Q7">
        <f t="shared" si="2"/>
        <v>569.04999999999995</v>
      </c>
    </row>
    <row r="8" spans="1:17">
      <c r="A8" t="s">
        <v>40</v>
      </c>
      <c r="B8" s="1">
        <v>46042</v>
      </c>
      <c r="C8" t="s">
        <v>14</v>
      </c>
      <c r="D8" t="s">
        <v>15</v>
      </c>
      <c r="E8" t="s">
        <v>16</v>
      </c>
      <c r="F8" t="s">
        <v>41</v>
      </c>
      <c r="G8">
        <v>1</v>
      </c>
      <c r="H8">
        <v>2199</v>
      </c>
      <c r="I8">
        <v>0.1</v>
      </c>
      <c r="J8" t="s">
        <v>18</v>
      </c>
      <c r="K8">
        <v>2199</v>
      </c>
      <c r="L8">
        <v>219.9</v>
      </c>
      <c r="M8">
        <v>1979.1</v>
      </c>
      <c r="N8" t="str" cm="1">
        <f t="array" ref="N8">_xlfn.IFS(M8&gt;=3000,"High",M8&gt;=1500,"Medium",TRUE,"Low")</f>
        <v>Medium</v>
      </c>
      <c r="O8" t="str">
        <f t="shared" si="0"/>
        <v>Priority</v>
      </c>
      <c r="P8" t="str">
        <f t="shared" si="1"/>
        <v>Normal</v>
      </c>
      <c r="Q8">
        <f t="shared" si="2"/>
        <v>1979.1</v>
      </c>
    </row>
    <row r="9" spans="1:17">
      <c r="A9" t="s">
        <v>42</v>
      </c>
      <c r="B9" s="1">
        <v>46047</v>
      </c>
      <c r="C9" t="s">
        <v>43</v>
      </c>
      <c r="D9" t="s">
        <v>44</v>
      </c>
      <c r="E9" t="s">
        <v>22</v>
      </c>
      <c r="F9" t="s">
        <v>45</v>
      </c>
      <c r="G9">
        <v>1</v>
      </c>
      <c r="H9">
        <v>6499</v>
      </c>
      <c r="I9">
        <v>0.05</v>
      </c>
      <c r="J9" t="s">
        <v>29</v>
      </c>
      <c r="K9">
        <v>6499</v>
      </c>
      <c r="L9">
        <v>324.95</v>
      </c>
      <c r="M9">
        <v>6174.05</v>
      </c>
      <c r="N9" t="str" cm="1">
        <f t="array" ref="N9">_xlfn.IFS(M9&gt;=3000,"High",M9&gt;=1500,"Medium",TRUE,"Low")</f>
        <v>High</v>
      </c>
      <c r="O9" t="str">
        <f t="shared" si="0"/>
        <v>Normal</v>
      </c>
      <c r="P9" t="str">
        <f t="shared" si="1"/>
        <v>Review</v>
      </c>
      <c r="Q9">
        <f t="shared" si="2"/>
        <v>6174.05</v>
      </c>
    </row>
    <row r="10" spans="1:17">
      <c r="A10" t="s">
        <v>46</v>
      </c>
      <c r="B10" s="1">
        <v>46055</v>
      </c>
      <c r="C10" t="s">
        <v>47</v>
      </c>
      <c r="D10" t="s">
        <v>15</v>
      </c>
      <c r="E10" t="s">
        <v>27</v>
      </c>
      <c r="F10" t="s">
        <v>48</v>
      </c>
      <c r="G10">
        <v>1</v>
      </c>
      <c r="H10">
        <v>2999</v>
      </c>
      <c r="I10">
        <v>0</v>
      </c>
      <c r="J10" t="s">
        <v>18</v>
      </c>
      <c r="K10">
        <v>2999</v>
      </c>
      <c r="L10">
        <v>0</v>
      </c>
      <c r="M10">
        <v>2999</v>
      </c>
      <c r="N10" t="str" cm="1">
        <f t="array" ref="N10">_xlfn.IFS(M10&gt;=3000,"High",M10&gt;=1500,"Medium",TRUE,"Low")</f>
        <v>Medium</v>
      </c>
      <c r="O10" t="str">
        <f t="shared" si="0"/>
        <v>Priority</v>
      </c>
      <c r="P10" t="str">
        <f t="shared" si="1"/>
        <v>Normal</v>
      </c>
      <c r="Q10">
        <f t="shared" si="2"/>
        <v>2999</v>
      </c>
    </row>
    <row r="11" spans="1:17">
      <c r="A11" t="s">
        <v>49</v>
      </c>
      <c r="B11" s="1">
        <v>46058</v>
      </c>
      <c r="C11" t="s">
        <v>50</v>
      </c>
      <c r="D11" t="s">
        <v>51</v>
      </c>
      <c r="E11" t="s">
        <v>16</v>
      </c>
      <c r="F11" t="s">
        <v>52</v>
      </c>
      <c r="G11">
        <v>1</v>
      </c>
      <c r="H11">
        <v>2499</v>
      </c>
      <c r="I11">
        <v>0.1</v>
      </c>
      <c r="J11" t="s">
        <v>18</v>
      </c>
      <c r="K11">
        <v>2499</v>
      </c>
      <c r="L11">
        <v>249.9</v>
      </c>
      <c r="M11">
        <v>2249.1</v>
      </c>
      <c r="N11" t="str" cm="1">
        <f t="array" ref="N11">_xlfn.IFS(M11&gt;=3000,"High",M11&gt;=1500,"Medium",TRUE,"Low")</f>
        <v>Medium</v>
      </c>
      <c r="O11" t="str">
        <f t="shared" si="0"/>
        <v>Priority</v>
      </c>
      <c r="P11" t="str">
        <f t="shared" si="1"/>
        <v>Normal</v>
      </c>
      <c r="Q11">
        <f t="shared" si="2"/>
        <v>2249.1</v>
      </c>
    </row>
    <row r="12" spans="1:17">
      <c r="A12" t="s">
        <v>53</v>
      </c>
      <c r="B12" s="1">
        <v>46061</v>
      </c>
      <c r="C12" t="s">
        <v>54</v>
      </c>
      <c r="D12" t="s">
        <v>35</v>
      </c>
      <c r="E12" t="s">
        <v>22</v>
      </c>
      <c r="F12" t="s">
        <v>23</v>
      </c>
      <c r="G12">
        <v>2</v>
      </c>
      <c r="H12">
        <v>1299</v>
      </c>
      <c r="I12">
        <v>0</v>
      </c>
      <c r="J12" t="s">
        <v>29</v>
      </c>
      <c r="K12">
        <v>2598</v>
      </c>
      <c r="L12">
        <v>0</v>
      </c>
      <c r="M12">
        <v>2598</v>
      </c>
      <c r="N12" t="str" cm="1">
        <f t="array" ref="N12">_xlfn.IFS(M12&gt;=3000,"High",M12&gt;=1500,"Medium",TRUE,"Low")</f>
        <v>Medium</v>
      </c>
      <c r="O12" t="str">
        <f t="shared" si="0"/>
        <v>Normal</v>
      </c>
      <c r="P12" t="str">
        <f t="shared" si="1"/>
        <v>Review</v>
      </c>
      <c r="Q12">
        <f t="shared" si="2"/>
        <v>1299</v>
      </c>
    </row>
    <row r="13" spans="1:17">
      <c r="A13" t="s">
        <v>55</v>
      </c>
      <c r="B13" s="1">
        <v>46064</v>
      </c>
      <c r="C13" t="s">
        <v>25</v>
      </c>
      <c r="D13" t="s">
        <v>26</v>
      </c>
      <c r="E13" t="s">
        <v>27</v>
      </c>
      <c r="F13" t="s">
        <v>28</v>
      </c>
      <c r="G13">
        <v>2</v>
      </c>
      <c r="H13">
        <v>1499</v>
      </c>
      <c r="I13">
        <v>0.05</v>
      </c>
      <c r="J13" t="s">
        <v>18</v>
      </c>
      <c r="K13">
        <v>2998</v>
      </c>
      <c r="L13">
        <v>149.9</v>
      </c>
      <c r="M13">
        <v>2848.1</v>
      </c>
      <c r="N13" t="str" cm="1">
        <f t="array" ref="N13">_xlfn.IFS(M13&gt;=3000,"High",M13&gt;=1500,"Medium",TRUE,"Low")</f>
        <v>Medium</v>
      </c>
      <c r="O13" t="str">
        <f t="shared" si="0"/>
        <v>Priority</v>
      </c>
      <c r="P13" t="str">
        <f t="shared" si="1"/>
        <v>Normal</v>
      </c>
      <c r="Q13">
        <f t="shared" si="2"/>
        <v>1424.05</v>
      </c>
    </row>
    <row r="14" spans="1:17">
      <c r="A14" t="s">
        <v>56</v>
      </c>
      <c r="B14" s="1">
        <v>46067</v>
      </c>
      <c r="C14" t="s">
        <v>57</v>
      </c>
      <c r="D14" t="s">
        <v>15</v>
      </c>
      <c r="E14" t="s">
        <v>16</v>
      </c>
      <c r="F14" t="s">
        <v>17</v>
      </c>
      <c r="G14">
        <v>1</v>
      </c>
      <c r="H14">
        <v>799</v>
      </c>
      <c r="I14">
        <v>0</v>
      </c>
      <c r="J14" t="s">
        <v>29</v>
      </c>
      <c r="K14">
        <v>799</v>
      </c>
      <c r="L14">
        <v>0</v>
      </c>
      <c r="M14">
        <v>799</v>
      </c>
      <c r="N14" t="str" cm="1">
        <f t="array" ref="N14">_xlfn.IFS(M14&gt;=3000,"High",M14&gt;=1500,"Medium",TRUE,"Low")</f>
        <v>Low</v>
      </c>
      <c r="O14" t="str">
        <f t="shared" si="0"/>
        <v>Normal</v>
      </c>
      <c r="P14" t="str">
        <f t="shared" si="1"/>
        <v>Review</v>
      </c>
      <c r="Q14">
        <f t="shared" si="2"/>
        <v>799</v>
      </c>
    </row>
    <row r="15" spans="1:17">
      <c r="A15" t="s">
        <v>58</v>
      </c>
      <c r="B15" s="1">
        <v>46071</v>
      </c>
      <c r="C15" t="s">
        <v>59</v>
      </c>
      <c r="D15" t="s">
        <v>21</v>
      </c>
      <c r="E15" t="s">
        <v>22</v>
      </c>
      <c r="F15" t="s">
        <v>36</v>
      </c>
      <c r="G15">
        <v>4</v>
      </c>
      <c r="H15">
        <v>399</v>
      </c>
      <c r="I15">
        <v>0.1</v>
      </c>
      <c r="J15" t="s">
        <v>18</v>
      </c>
      <c r="K15">
        <v>1596</v>
      </c>
      <c r="L15">
        <v>159.6</v>
      </c>
      <c r="M15">
        <v>1436.4</v>
      </c>
      <c r="N15" t="str" cm="1">
        <f t="array" ref="N15">_xlfn.IFS(M15&gt;=3000,"High",M15&gt;=1500,"Medium",TRUE,"Low")</f>
        <v>Low</v>
      </c>
      <c r="O15" t="str">
        <f t="shared" si="0"/>
        <v>Normal</v>
      </c>
      <c r="P15" t="str">
        <f t="shared" si="1"/>
        <v>Normal</v>
      </c>
      <c r="Q15">
        <f t="shared" si="2"/>
        <v>359.1</v>
      </c>
    </row>
    <row r="16" spans="1:17">
      <c r="A16" t="s">
        <v>60</v>
      </c>
      <c r="B16" s="1">
        <v>46075</v>
      </c>
      <c r="C16" t="s">
        <v>61</v>
      </c>
      <c r="D16" t="s">
        <v>44</v>
      </c>
      <c r="E16" t="s">
        <v>27</v>
      </c>
      <c r="F16" t="s">
        <v>39</v>
      </c>
      <c r="G16">
        <v>3</v>
      </c>
      <c r="H16">
        <v>599</v>
      </c>
      <c r="I16">
        <v>0</v>
      </c>
      <c r="J16" t="s">
        <v>18</v>
      </c>
      <c r="K16">
        <v>1797</v>
      </c>
      <c r="L16">
        <v>0</v>
      </c>
      <c r="M16">
        <v>1797</v>
      </c>
      <c r="N16" t="str" cm="1">
        <f t="array" ref="N16">_xlfn.IFS(M16&gt;=3000,"High",M16&gt;=1500,"Medium",TRUE,"Low")</f>
        <v>Medium</v>
      </c>
      <c r="O16" t="str">
        <f t="shared" si="0"/>
        <v>Priority</v>
      </c>
      <c r="P16" t="str">
        <f t="shared" si="1"/>
        <v>Normal</v>
      </c>
      <c r="Q16">
        <f t="shared" si="2"/>
        <v>599</v>
      </c>
    </row>
    <row r="17" spans="1:17">
      <c r="A17" t="s">
        <v>62</v>
      </c>
      <c r="B17" s="1">
        <v>46082</v>
      </c>
      <c r="C17" t="s">
        <v>63</v>
      </c>
      <c r="D17" t="s">
        <v>15</v>
      </c>
      <c r="E17" t="s">
        <v>16</v>
      </c>
      <c r="F17" t="s">
        <v>32</v>
      </c>
      <c r="G17">
        <v>2</v>
      </c>
      <c r="H17">
        <v>1899</v>
      </c>
      <c r="I17">
        <v>0.05</v>
      </c>
      <c r="J17" t="s">
        <v>18</v>
      </c>
      <c r="K17">
        <v>3798</v>
      </c>
      <c r="L17">
        <v>189.9</v>
      </c>
      <c r="M17">
        <v>3608.1</v>
      </c>
      <c r="N17" t="str" cm="1">
        <f t="array" ref="N17">_xlfn.IFS(M17&gt;=3000,"High",M17&gt;=1500,"Medium",TRUE,"Low")</f>
        <v>High</v>
      </c>
      <c r="O17" t="str">
        <f t="shared" si="0"/>
        <v>Priority</v>
      </c>
      <c r="P17" t="str">
        <f t="shared" si="1"/>
        <v>Review</v>
      </c>
      <c r="Q17">
        <f t="shared" si="2"/>
        <v>1804.05</v>
      </c>
    </row>
    <row r="18" spans="1:17">
      <c r="A18" t="s">
        <v>64</v>
      </c>
      <c r="B18" s="1">
        <v>46085</v>
      </c>
      <c r="C18" t="s">
        <v>65</v>
      </c>
      <c r="D18" t="s">
        <v>51</v>
      </c>
      <c r="E18" t="s">
        <v>22</v>
      </c>
      <c r="F18" t="s">
        <v>45</v>
      </c>
      <c r="G18">
        <v>1</v>
      </c>
      <c r="H18">
        <v>6499</v>
      </c>
      <c r="I18">
        <v>0</v>
      </c>
      <c r="J18" t="s">
        <v>29</v>
      </c>
      <c r="K18">
        <v>6499</v>
      </c>
      <c r="L18">
        <v>0</v>
      </c>
      <c r="M18">
        <v>6499</v>
      </c>
      <c r="N18" t="str" cm="1">
        <f t="array" ref="N18">_xlfn.IFS(M18&gt;=3000,"High",M18&gt;=1500,"Medium",TRUE,"Low")</f>
        <v>High</v>
      </c>
      <c r="O18" t="str">
        <f t="shared" si="0"/>
        <v>Normal</v>
      </c>
      <c r="P18" t="str">
        <f t="shared" si="1"/>
        <v>Review</v>
      </c>
      <c r="Q18">
        <f t="shared" si="2"/>
        <v>6499</v>
      </c>
    </row>
    <row r="19" spans="1:17">
      <c r="A19" t="s">
        <v>66</v>
      </c>
      <c r="B19" s="1">
        <v>46088</v>
      </c>
      <c r="C19" t="s">
        <v>20</v>
      </c>
      <c r="D19" t="s">
        <v>21</v>
      </c>
      <c r="E19" t="s">
        <v>27</v>
      </c>
      <c r="F19" t="s">
        <v>48</v>
      </c>
      <c r="G19">
        <v>1</v>
      </c>
      <c r="H19">
        <v>2999</v>
      </c>
      <c r="I19">
        <v>0.1</v>
      </c>
      <c r="J19" t="s">
        <v>18</v>
      </c>
      <c r="K19">
        <v>2999</v>
      </c>
      <c r="L19">
        <v>299.89999999999998</v>
      </c>
      <c r="M19">
        <v>2699.1</v>
      </c>
      <c r="N19" t="str" cm="1">
        <f t="array" ref="N19">_xlfn.IFS(M19&gt;=3000,"High",M19&gt;=1500,"Medium",TRUE,"Low")</f>
        <v>Medium</v>
      </c>
      <c r="O19" t="str">
        <f t="shared" si="0"/>
        <v>Priority</v>
      </c>
      <c r="P19" t="str">
        <f t="shared" si="1"/>
        <v>Normal</v>
      </c>
      <c r="Q19">
        <f t="shared" si="2"/>
        <v>2699.1</v>
      </c>
    </row>
    <row r="20" spans="1:17">
      <c r="A20" t="s">
        <v>67</v>
      </c>
      <c r="B20" s="1">
        <v>46092</v>
      </c>
      <c r="C20" t="s">
        <v>68</v>
      </c>
      <c r="D20" t="s">
        <v>35</v>
      </c>
      <c r="E20" t="s">
        <v>16</v>
      </c>
      <c r="F20" t="s">
        <v>52</v>
      </c>
      <c r="G20">
        <v>2</v>
      </c>
      <c r="H20">
        <v>2499</v>
      </c>
      <c r="I20">
        <v>0.05</v>
      </c>
      <c r="J20" t="s">
        <v>18</v>
      </c>
      <c r="K20">
        <v>4998</v>
      </c>
      <c r="L20">
        <v>249.9</v>
      </c>
      <c r="M20">
        <v>4748.1000000000004</v>
      </c>
      <c r="N20" t="str" cm="1">
        <f t="array" ref="N20">_xlfn.IFS(M20&gt;=3000,"High",M20&gt;=1500,"Medium",TRUE,"Low")</f>
        <v>High</v>
      </c>
      <c r="O20" t="str">
        <f t="shared" si="0"/>
        <v>Priority</v>
      </c>
      <c r="P20" t="str">
        <f t="shared" si="1"/>
        <v>Review</v>
      </c>
      <c r="Q20">
        <f t="shared" si="2"/>
        <v>2374.0500000000002</v>
      </c>
    </row>
    <row r="21" spans="1:17">
      <c r="A21" t="s">
        <v>69</v>
      </c>
      <c r="B21" s="1">
        <v>46096</v>
      </c>
      <c r="C21" t="s">
        <v>70</v>
      </c>
      <c r="D21" t="s">
        <v>15</v>
      </c>
      <c r="E21" t="s">
        <v>22</v>
      </c>
      <c r="F21" t="s">
        <v>23</v>
      </c>
      <c r="G21">
        <v>1</v>
      </c>
      <c r="H21">
        <v>1299</v>
      </c>
      <c r="I21">
        <v>0</v>
      </c>
      <c r="J21" t="s">
        <v>29</v>
      </c>
      <c r="K21">
        <v>1299</v>
      </c>
      <c r="L21">
        <v>0</v>
      </c>
      <c r="M21">
        <v>1299</v>
      </c>
      <c r="N21" t="str" cm="1">
        <f t="array" ref="N21">_xlfn.IFS(M21&gt;=3000,"High",M21&gt;=1500,"Medium",TRUE,"Low")</f>
        <v>Low</v>
      </c>
      <c r="O21" t="str">
        <f t="shared" si="0"/>
        <v>Normal</v>
      </c>
      <c r="P21" t="str">
        <f t="shared" si="1"/>
        <v>Review</v>
      </c>
      <c r="Q21">
        <f t="shared" si="2"/>
        <v>1299</v>
      </c>
    </row>
    <row r="22" spans="1:17">
      <c r="A22" t="s">
        <v>71</v>
      </c>
      <c r="B22" s="1">
        <v>46100</v>
      </c>
      <c r="C22" t="s">
        <v>72</v>
      </c>
      <c r="D22" t="s">
        <v>26</v>
      </c>
      <c r="E22" t="s">
        <v>27</v>
      </c>
      <c r="F22" t="s">
        <v>39</v>
      </c>
      <c r="G22">
        <v>2</v>
      </c>
      <c r="H22">
        <v>599</v>
      </c>
      <c r="I22">
        <v>0.05</v>
      </c>
      <c r="J22" t="s">
        <v>18</v>
      </c>
      <c r="K22">
        <v>1198</v>
      </c>
      <c r="L22">
        <v>59.9</v>
      </c>
      <c r="M22">
        <v>1138.0999999999999</v>
      </c>
      <c r="N22" t="str" cm="1">
        <f t="array" ref="N22">_xlfn.IFS(M22&gt;=3000,"High",M22&gt;=1500,"Medium",TRUE,"Low")</f>
        <v>Low</v>
      </c>
      <c r="O22" t="str">
        <f t="shared" si="0"/>
        <v>Normal</v>
      </c>
      <c r="P22" t="str">
        <f t="shared" si="1"/>
        <v>Normal</v>
      </c>
      <c r="Q22">
        <f t="shared" si="2"/>
        <v>569.04999999999995</v>
      </c>
    </row>
    <row r="23" spans="1:17">
      <c r="A23" t="s">
        <v>73</v>
      </c>
      <c r="B23" s="1">
        <v>46104</v>
      </c>
      <c r="C23" t="s">
        <v>34</v>
      </c>
      <c r="D23" t="s">
        <v>35</v>
      </c>
      <c r="E23" t="s">
        <v>22</v>
      </c>
      <c r="F23" t="s">
        <v>36</v>
      </c>
      <c r="G23">
        <v>2</v>
      </c>
      <c r="H23">
        <v>399</v>
      </c>
      <c r="I23">
        <v>0</v>
      </c>
      <c r="J23" t="s">
        <v>18</v>
      </c>
      <c r="K23">
        <v>798</v>
      </c>
      <c r="L23">
        <v>0</v>
      </c>
      <c r="M23">
        <v>798</v>
      </c>
      <c r="N23" t="str" cm="1">
        <f t="array" ref="N23">_xlfn.IFS(M23&gt;=3000,"High",M23&gt;=1500,"Medium",TRUE,"Low")</f>
        <v>Low</v>
      </c>
      <c r="O23" t="str">
        <f t="shared" si="0"/>
        <v>Normal</v>
      </c>
      <c r="P23" t="str">
        <f t="shared" si="1"/>
        <v>Normal</v>
      </c>
      <c r="Q23">
        <f t="shared" si="2"/>
        <v>399</v>
      </c>
    </row>
    <row r="24" spans="1:17">
      <c r="A24" t="s">
        <v>74</v>
      </c>
      <c r="B24" s="1">
        <v>46107</v>
      </c>
      <c r="C24" t="s">
        <v>75</v>
      </c>
      <c r="D24" t="s">
        <v>21</v>
      </c>
      <c r="E24" t="s">
        <v>16</v>
      </c>
      <c r="F24" t="s">
        <v>41</v>
      </c>
      <c r="G24">
        <v>1</v>
      </c>
      <c r="H24">
        <v>2199</v>
      </c>
      <c r="I24">
        <v>0</v>
      </c>
      <c r="J24" t="s">
        <v>29</v>
      </c>
      <c r="K24">
        <v>2199</v>
      </c>
      <c r="L24">
        <v>0</v>
      </c>
      <c r="M24">
        <v>2199</v>
      </c>
      <c r="N24" t="str" cm="1">
        <f t="array" ref="N24">_xlfn.IFS(M24&gt;=3000,"High",M24&gt;=1500,"Medium",TRUE,"Low")</f>
        <v>Medium</v>
      </c>
      <c r="O24" t="str">
        <f t="shared" si="0"/>
        <v>Normal</v>
      </c>
      <c r="P24" t="str">
        <f t="shared" si="1"/>
        <v>Review</v>
      </c>
      <c r="Q24">
        <f t="shared" si="2"/>
        <v>2199</v>
      </c>
    </row>
    <row r="25" spans="1:17">
      <c r="A25" t="s">
        <v>76</v>
      </c>
      <c r="B25" s="1">
        <v>46110</v>
      </c>
      <c r="C25" t="s">
        <v>77</v>
      </c>
      <c r="D25" t="s">
        <v>44</v>
      </c>
      <c r="E25" t="s">
        <v>27</v>
      </c>
      <c r="F25" t="s">
        <v>28</v>
      </c>
      <c r="G25">
        <v>1</v>
      </c>
      <c r="H25">
        <v>1499</v>
      </c>
      <c r="I25">
        <v>0.1</v>
      </c>
      <c r="J25" t="s">
        <v>18</v>
      </c>
      <c r="K25">
        <v>1499</v>
      </c>
      <c r="L25">
        <v>149.9</v>
      </c>
      <c r="M25">
        <v>1349.1</v>
      </c>
      <c r="N25" t="str" cm="1">
        <f t="array" ref="N25">_xlfn.IFS(M25&gt;=3000,"High",M25&gt;=1500,"Medium",TRUE,"Low")</f>
        <v>Low</v>
      </c>
      <c r="O25" t="str">
        <f t="shared" si="0"/>
        <v>Normal</v>
      </c>
      <c r="P25" t="str">
        <f t="shared" si="1"/>
        <v>Normal</v>
      </c>
      <c r="Q25">
        <f t="shared" si="2"/>
        <v>1349.1</v>
      </c>
    </row>
    <row r="26" spans="1:17">
      <c r="A26" t="s">
        <v>78</v>
      </c>
      <c r="B26" s="1">
        <v>46114</v>
      </c>
      <c r="C26" t="s">
        <v>79</v>
      </c>
      <c r="D26" t="s">
        <v>15</v>
      </c>
      <c r="E26" t="s">
        <v>16</v>
      </c>
      <c r="F26" t="s">
        <v>52</v>
      </c>
      <c r="G26">
        <v>1</v>
      </c>
      <c r="H26">
        <v>2499</v>
      </c>
      <c r="I26">
        <v>0</v>
      </c>
      <c r="J26" t="s">
        <v>18</v>
      </c>
      <c r="K26">
        <v>2499</v>
      </c>
      <c r="L26">
        <v>0</v>
      </c>
      <c r="M26">
        <v>2499</v>
      </c>
      <c r="N26" t="str" cm="1">
        <f t="array" ref="N26">_xlfn.IFS(M26&gt;=3000,"High",M26&gt;=1500,"Medium",TRUE,"Low")</f>
        <v>Medium</v>
      </c>
      <c r="O26" t="str">
        <f t="shared" si="0"/>
        <v>Priority</v>
      </c>
      <c r="P26" t="str">
        <f t="shared" si="1"/>
        <v>Normal</v>
      </c>
      <c r="Q26">
        <f t="shared" si="2"/>
        <v>2499</v>
      </c>
    </row>
    <row r="27" spans="1:17">
      <c r="A27" t="s">
        <v>80</v>
      </c>
      <c r="B27" s="1">
        <v>46118</v>
      </c>
      <c r="C27" t="s">
        <v>81</v>
      </c>
      <c r="D27" t="s">
        <v>51</v>
      </c>
      <c r="E27" t="s">
        <v>22</v>
      </c>
      <c r="F27" t="s">
        <v>45</v>
      </c>
      <c r="G27">
        <v>2</v>
      </c>
      <c r="H27">
        <v>6499</v>
      </c>
      <c r="I27">
        <v>0.1</v>
      </c>
      <c r="J27" t="s">
        <v>29</v>
      </c>
      <c r="K27">
        <v>12998</v>
      </c>
      <c r="L27">
        <v>1299.8</v>
      </c>
      <c r="M27">
        <v>11698.2</v>
      </c>
      <c r="N27" t="str" cm="1">
        <f t="array" ref="N27">_xlfn.IFS(M27&gt;=3000,"High",M27&gt;=1500,"Medium",TRUE,"Low")</f>
        <v>High</v>
      </c>
      <c r="O27" t="str">
        <f t="shared" si="0"/>
        <v>Normal</v>
      </c>
      <c r="P27" t="str">
        <f t="shared" si="1"/>
        <v>Review</v>
      </c>
      <c r="Q27">
        <f t="shared" si="2"/>
        <v>5849.1</v>
      </c>
    </row>
    <row r="28" spans="1:17">
      <c r="A28" t="s">
        <v>82</v>
      </c>
      <c r="B28" s="1">
        <v>46122</v>
      </c>
      <c r="C28" t="s">
        <v>83</v>
      </c>
      <c r="D28" t="s">
        <v>21</v>
      </c>
      <c r="E28" t="s">
        <v>27</v>
      </c>
      <c r="F28" t="s">
        <v>48</v>
      </c>
      <c r="G28">
        <v>2</v>
      </c>
      <c r="H28">
        <v>2999</v>
      </c>
      <c r="I28">
        <v>0.05</v>
      </c>
      <c r="J28" t="s">
        <v>18</v>
      </c>
      <c r="K28">
        <v>5998</v>
      </c>
      <c r="L28">
        <v>299.89999999999998</v>
      </c>
      <c r="M28">
        <v>5698.1</v>
      </c>
      <c r="N28" t="str" cm="1">
        <f t="array" ref="N28">_xlfn.IFS(M28&gt;=3000,"High",M28&gt;=1500,"Medium",TRUE,"Low")</f>
        <v>High</v>
      </c>
      <c r="O28" t="str">
        <f t="shared" si="0"/>
        <v>Priority</v>
      </c>
      <c r="P28" t="str">
        <f t="shared" si="1"/>
        <v>Review</v>
      </c>
      <c r="Q28">
        <f t="shared" si="2"/>
        <v>2849.05</v>
      </c>
    </row>
    <row r="29" spans="1:17">
      <c r="A29" t="s">
        <v>84</v>
      </c>
      <c r="B29" s="1">
        <v>46125</v>
      </c>
      <c r="C29" t="s">
        <v>85</v>
      </c>
      <c r="D29" t="s">
        <v>26</v>
      </c>
      <c r="E29" t="s">
        <v>16</v>
      </c>
      <c r="F29" t="s">
        <v>17</v>
      </c>
      <c r="G29">
        <v>3</v>
      </c>
      <c r="H29">
        <v>799</v>
      </c>
      <c r="I29">
        <v>0</v>
      </c>
      <c r="J29" t="s">
        <v>18</v>
      </c>
      <c r="K29">
        <v>2397</v>
      </c>
      <c r="L29">
        <v>0</v>
      </c>
      <c r="M29">
        <v>2397</v>
      </c>
      <c r="N29" t="str" cm="1">
        <f t="array" ref="N29">_xlfn.IFS(M29&gt;=3000,"High",M29&gt;=1500,"Medium",TRUE,"Low")</f>
        <v>Medium</v>
      </c>
      <c r="O29" t="str">
        <f t="shared" si="0"/>
        <v>Priority</v>
      </c>
      <c r="P29" t="str">
        <f t="shared" si="1"/>
        <v>Normal</v>
      </c>
      <c r="Q29">
        <f t="shared" si="2"/>
        <v>799</v>
      </c>
    </row>
    <row r="30" spans="1:17">
      <c r="A30" t="s">
        <v>86</v>
      </c>
      <c r="B30" s="1">
        <v>46130</v>
      </c>
      <c r="C30" t="s">
        <v>87</v>
      </c>
      <c r="D30" t="s">
        <v>35</v>
      </c>
      <c r="E30" t="s">
        <v>22</v>
      </c>
      <c r="F30" t="s">
        <v>23</v>
      </c>
      <c r="G30">
        <v>1</v>
      </c>
      <c r="H30">
        <v>1299</v>
      </c>
      <c r="I30">
        <v>0.05</v>
      </c>
      <c r="J30" t="s">
        <v>29</v>
      </c>
      <c r="K30">
        <v>1299</v>
      </c>
      <c r="L30">
        <v>64.95</v>
      </c>
      <c r="M30">
        <v>1234.05</v>
      </c>
      <c r="N30" t="str" cm="1">
        <f t="array" ref="N30">_xlfn.IFS(M30&gt;=3000,"High",M30&gt;=1500,"Medium",TRUE,"Low")</f>
        <v>Low</v>
      </c>
      <c r="O30" t="str">
        <f t="shared" si="0"/>
        <v>Normal</v>
      </c>
      <c r="P30" t="str">
        <f t="shared" si="1"/>
        <v>Review</v>
      </c>
      <c r="Q30">
        <f t="shared" si="2"/>
        <v>1234.05</v>
      </c>
    </row>
    <row r="31" spans="1:17">
      <c r="A31" t="s">
        <v>88</v>
      </c>
      <c r="B31" s="1">
        <v>46134</v>
      </c>
      <c r="C31" t="s">
        <v>89</v>
      </c>
      <c r="D31" t="s">
        <v>15</v>
      </c>
      <c r="E31" t="s">
        <v>27</v>
      </c>
      <c r="F31" t="s">
        <v>39</v>
      </c>
      <c r="G31">
        <v>4</v>
      </c>
      <c r="H31">
        <v>599</v>
      </c>
      <c r="I31">
        <v>0</v>
      </c>
      <c r="J31" t="s">
        <v>18</v>
      </c>
      <c r="K31">
        <v>2396</v>
      </c>
      <c r="L31">
        <v>0</v>
      </c>
      <c r="M31">
        <v>2396</v>
      </c>
      <c r="N31" t="str" cm="1">
        <f t="array" ref="N31">_xlfn.IFS(M31&gt;=3000,"High",M31&gt;=1500,"Medium",TRUE,"Low")</f>
        <v>Medium</v>
      </c>
      <c r="O31" t="str">
        <f t="shared" si="0"/>
        <v>Priority</v>
      </c>
      <c r="P31" t="str">
        <f t="shared" si="1"/>
        <v>Normal</v>
      </c>
      <c r="Q31">
        <f t="shared" si="2"/>
        <v>599</v>
      </c>
    </row>
    <row r="32" spans="1:17">
      <c r="A32" t="s">
        <v>90</v>
      </c>
      <c r="B32" s="1">
        <v>46143</v>
      </c>
      <c r="C32" t="s">
        <v>91</v>
      </c>
      <c r="D32" t="s">
        <v>44</v>
      </c>
      <c r="E32" t="s">
        <v>16</v>
      </c>
      <c r="F32" t="s">
        <v>32</v>
      </c>
      <c r="G32">
        <v>1</v>
      </c>
      <c r="H32">
        <v>1899</v>
      </c>
      <c r="I32">
        <v>0.1</v>
      </c>
      <c r="J32" t="s">
        <v>18</v>
      </c>
      <c r="K32">
        <v>1899</v>
      </c>
      <c r="L32">
        <v>189.9</v>
      </c>
      <c r="M32">
        <v>1709.1</v>
      </c>
      <c r="N32" t="str" cm="1">
        <f t="array" ref="N32">_xlfn.IFS(M32&gt;=3000,"High",M32&gt;=1500,"Medium",TRUE,"Low")</f>
        <v>Medium</v>
      </c>
      <c r="O32" t="str">
        <f t="shared" si="0"/>
        <v>Priority</v>
      </c>
      <c r="P32" t="str">
        <f t="shared" si="1"/>
        <v>Normal</v>
      </c>
      <c r="Q32">
        <f t="shared" si="2"/>
        <v>1709.1</v>
      </c>
    </row>
    <row r="33" spans="1:17">
      <c r="A33" t="s">
        <v>92</v>
      </c>
      <c r="B33" s="1">
        <v>46147</v>
      </c>
      <c r="C33" t="s">
        <v>93</v>
      </c>
      <c r="D33" t="s">
        <v>21</v>
      </c>
      <c r="E33" t="s">
        <v>22</v>
      </c>
      <c r="F33" t="s">
        <v>36</v>
      </c>
      <c r="G33">
        <v>5</v>
      </c>
      <c r="H33">
        <v>399</v>
      </c>
      <c r="I33">
        <v>0</v>
      </c>
      <c r="J33" t="s">
        <v>29</v>
      </c>
      <c r="K33">
        <v>1995</v>
      </c>
      <c r="L33">
        <v>0</v>
      </c>
      <c r="M33">
        <v>1995</v>
      </c>
      <c r="N33" t="str" cm="1">
        <f t="array" ref="N33">_xlfn.IFS(M33&gt;=3000,"High",M33&gt;=1500,"Medium",TRUE,"Low")</f>
        <v>Medium</v>
      </c>
      <c r="O33" t="str">
        <f t="shared" si="0"/>
        <v>Normal</v>
      </c>
      <c r="P33" t="str">
        <f t="shared" si="1"/>
        <v>Review</v>
      </c>
      <c r="Q33">
        <f t="shared" si="2"/>
        <v>399</v>
      </c>
    </row>
    <row r="34" spans="1:17">
      <c r="A34" t="s">
        <v>94</v>
      </c>
      <c r="B34" s="1">
        <v>46151</v>
      </c>
      <c r="C34" t="s">
        <v>95</v>
      </c>
      <c r="D34" t="s">
        <v>15</v>
      </c>
      <c r="E34" t="s">
        <v>27</v>
      </c>
      <c r="F34" t="s">
        <v>28</v>
      </c>
      <c r="G34">
        <v>2</v>
      </c>
      <c r="H34">
        <v>1499</v>
      </c>
      <c r="I34">
        <v>0.05</v>
      </c>
      <c r="J34" t="s">
        <v>18</v>
      </c>
      <c r="K34">
        <v>2998</v>
      </c>
      <c r="L34">
        <v>149.9</v>
      </c>
      <c r="M34">
        <v>2848.1</v>
      </c>
      <c r="N34" t="str" cm="1">
        <f t="array" ref="N34">_xlfn.IFS(M34&gt;=3000,"High",M34&gt;=1500,"Medium",TRUE,"Low")</f>
        <v>Medium</v>
      </c>
      <c r="O34" t="str">
        <f t="shared" si="0"/>
        <v>Priority</v>
      </c>
      <c r="P34" t="str">
        <f t="shared" si="1"/>
        <v>Normal</v>
      </c>
      <c r="Q34">
        <f t="shared" si="2"/>
        <v>1424.05</v>
      </c>
    </row>
    <row r="35" spans="1:17">
      <c r="A35" t="s">
        <v>96</v>
      </c>
      <c r="B35" s="1">
        <v>46156</v>
      </c>
      <c r="C35" t="s">
        <v>97</v>
      </c>
      <c r="D35" t="s">
        <v>51</v>
      </c>
      <c r="E35" t="s">
        <v>16</v>
      </c>
      <c r="F35" t="s">
        <v>41</v>
      </c>
      <c r="G35">
        <v>2</v>
      </c>
      <c r="H35">
        <v>2199</v>
      </c>
      <c r="I35">
        <v>0</v>
      </c>
      <c r="J35" t="s">
        <v>18</v>
      </c>
      <c r="K35">
        <v>4398</v>
      </c>
      <c r="L35">
        <v>0</v>
      </c>
      <c r="M35">
        <v>4398</v>
      </c>
      <c r="N35" t="str" cm="1">
        <f t="array" ref="N35">_xlfn.IFS(M35&gt;=3000,"High",M35&gt;=1500,"Medium",TRUE,"Low")</f>
        <v>High</v>
      </c>
      <c r="O35" t="str">
        <f t="shared" si="0"/>
        <v>Priority</v>
      </c>
      <c r="P35" t="str">
        <f t="shared" si="1"/>
        <v>Review</v>
      </c>
      <c r="Q35">
        <f t="shared" si="2"/>
        <v>2199</v>
      </c>
    </row>
    <row r="36" spans="1:17">
      <c r="A36" t="s">
        <v>98</v>
      </c>
      <c r="B36" s="1">
        <v>46162</v>
      </c>
      <c r="C36" t="s">
        <v>99</v>
      </c>
      <c r="D36" t="s">
        <v>35</v>
      </c>
      <c r="E36" t="s">
        <v>22</v>
      </c>
      <c r="F36" t="s">
        <v>45</v>
      </c>
      <c r="G36">
        <v>1</v>
      </c>
      <c r="H36">
        <v>6499</v>
      </c>
      <c r="I36">
        <v>0.05</v>
      </c>
      <c r="J36" t="s">
        <v>29</v>
      </c>
      <c r="K36">
        <v>6499</v>
      </c>
      <c r="L36">
        <v>324.95</v>
      </c>
      <c r="M36">
        <v>6174.05</v>
      </c>
      <c r="N36" t="str" cm="1">
        <f t="array" ref="N36">_xlfn.IFS(M36&gt;=3000,"High",M36&gt;=1500,"Medium",TRUE,"Low")</f>
        <v>High</v>
      </c>
      <c r="O36" t="str">
        <f t="shared" si="0"/>
        <v>Normal</v>
      </c>
      <c r="P36" t="str">
        <f t="shared" si="1"/>
        <v>Review</v>
      </c>
      <c r="Q36">
        <f t="shared" si="2"/>
        <v>6174.05</v>
      </c>
    </row>
    <row r="37" spans="1:17">
      <c r="A37" t="s">
        <v>100</v>
      </c>
      <c r="B37" s="1">
        <v>46175</v>
      </c>
      <c r="C37" t="s">
        <v>101</v>
      </c>
      <c r="D37" t="s">
        <v>26</v>
      </c>
      <c r="E37" t="s">
        <v>27</v>
      </c>
      <c r="F37" t="s">
        <v>48</v>
      </c>
      <c r="G37">
        <v>1</v>
      </c>
      <c r="H37">
        <v>2999</v>
      </c>
      <c r="I37">
        <v>0</v>
      </c>
      <c r="J37" t="s">
        <v>18</v>
      </c>
      <c r="K37">
        <v>2999</v>
      </c>
      <c r="L37">
        <v>0</v>
      </c>
      <c r="M37">
        <v>2999</v>
      </c>
      <c r="N37" t="str" cm="1">
        <f t="array" ref="N37">_xlfn.IFS(M37&gt;=3000,"High",M37&gt;=1500,"Medium",TRUE,"Low")</f>
        <v>Medium</v>
      </c>
      <c r="O37" t="str">
        <f t="shared" si="0"/>
        <v>Priority</v>
      </c>
      <c r="P37" t="str">
        <f t="shared" si="1"/>
        <v>Normal</v>
      </c>
      <c r="Q37">
        <f t="shared" si="2"/>
        <v>2999</v>
      </c>
    </row>
    <row r="38" spans="1:17">
      <c r="A38" t="s">
        <v>102</v>
      </c>
      <c r="B38" s="1">
        <v>46179</v>
      </c>
      <c r="C38" t="s">
        <v>14</v>
      </c>
      <c r="D38" t="s">
        <v>15</v>
      </c>
      <c r="E38" t="s">
        <v>16</v>
      </c>
      <c r="F38" t="s">
        <v>52</v>
      </c>
      <c r="G38">
        <v>2</v>
      </c>
      <c r="H38">
        <v>2499</v>
      </c>
      <c r="I38">
        <v>0.05</v>
      </c>
      <c r="J38" t="s">
        <v>18</v>
      </c>
      <c r="K38">
        <v>4998</v>
      </c>
      <c r="L38">
        <v>249.9</v>
      </c>
      <c r="M38">
        <v>4748.1000000000004</v>
      </c>
      <c r="N38" t="str" cm="1">
        <f t="array" ref="N38">_xlfn.IFS(M38&gt;=3000,"High",M38&gt;=1500,"Medium",TRUE,"Low")</f>
        <v>High</v>
      </c>
      <c r="O38" t="str">
        <f t="shared" si="0"/>
        <v>Priority</v>
      </c>
      <c r="P38" t="str">
        <f t="shared" si="1"/>
        <v>Review</v>
      </c>
      <c r="Q38">
        <f t="shared" si="2"/>
        <v>2374.0500000000002</v>
      </c>
    </row>
    <row r="39" spans="1:17">
      <c r="A39" t="s">
        <v>103</v>
      </c>
      <c r="B39" s="1">
        <v>46183</v>
      </c>
      <c r="C39" t="s">
        <v>104</v>
      </c>
      <c r="D39" t="s">
        <v>21</v>
      </c>
      <c r="E39" t="s">
        <v>22</v>
      </c>
      <c r="F39" t="s">
        <v>23</v>
      </c>
      <c r="G39">
        <v>3</v>
      </c>
      <c r="H39">
        <v>1299</v>
      </c>
      <c r="I39">
        <v>0.1</v>
      </c>
      <c r="J39" t="s">
        <v>29</v>
      </c>
      <c r="K39">
        <v>3897</v>
      </c>
      <c r="L39">
        <v>389.7</v>
      </c>
      <c r="M39">
        <v>3507.3</v>
      </c>
      <c r="N39" t="str" cm="1">
        <f t="array" ref="N39">_xlfn.IFS(M39&gt;=3000,"High",M39&gt;=1500,"Medium",TRUE,"Low")</f>
        <v>High</v>
      </c>
      <c r="O39" t="str">
        <f t="shared" si="0"/>
        <v>Normal</v>
      </c>
      <c r="P39" t="str">
        <f t="shared" si="1"/>
        <v>Review</v>
      </c>
      <c r="Q39">
        <f t="shared" si="2"/>
        <v>1169.1000000000001</v>
      </c>
    </row>
    <row r="40" spans="1:17">
      <c r="A40" t="s">
        <v>105</v>
      </c>
      <c r="B40" s="1">
        <v>46189</v>
      </c>
      <c r="C40" t="s">
        <v>106</v>
      </c>
      <c r="D40" t="s">
        <v>44</v>
      </c>
      <c r="E40" t="s">
        <v>27</v>
      </c>
      <c r="F40" t="s">
        <v>39</v>
      </c>
      <c r="G40">
        <v>2</v>
      </c>
      <c r="H40">
        <v>599</v>
      </c>
      <c r="I40">
        <v>0</v>
      </c>
      <c r="J40" t="s">
        <v>18</v>
      </c>
      <c r="K40">
        <v>1198</v>
      </c>
      <c r="L40">
        <v>0</v>
      </c>
      <c r="M40">
        <v>1198</v>
      </c>
      <c r="N40" t="str" cm="1">
        <f t="array" ref="N40">_xlfn.IFS(M40&gt;=3000,"High",M40&gt;=1500,"Medium",TRUE,"Low")</f>
        <v>Low</v>
      </c>
      <c r="O40" t="str">
        <f t="shared" si="0"/>
        <v>Normal</v>
      </c>
      <c r="P40" t="str">
        <f t="shared" si="1"/>
        <v>Normal</v>
      </c>
      <c r="Q40">
        <f t="shared" si="2"/>
        <v>599</v>
      </c>
    </row>
    <row r="41" spans="1:17">
      <c r="A41" t="s">
        <v>107</v>
      </c>
      <c r="B41" s="1">
        <v>46195</v>
      </c>
      <c r="C41" t="s">
        <v>108</v>
      </c>
      <c r="D41" t="s">
        <v>15</v>
      </c>
      <c r="E41" t="s">
        <v>16</v>
      </c>
      <c r="F41" t="s">
        <v>32</v>
      </c>
      <c r="G41">
        <v>1</v>
      </c>
      <c r="H41">
        <v>1899</v>
      </c>
      <c r="I41">
        <v>0</v>
      </c>
      <c r="J41" t="s">
        <v>29</v>
      </c>
      <c r="K41">
        <v>1899</v>
      </c>
      <c r="L41">
        <v>0</v>
      </c>
      <c r="M41">
        <v>1899</v>
      </c>
      <c r="N41" t="str" cm="1">
        <f t="array" ref="N41">_xlfn.IFS(M41&gt;=3000,"High",M41&gt;=1500,"Medium",TRUE,"Low")</f>
        <v>Medium</v>
      </c>
      <c r="O41" t="str">
        <f t="shared" si="0"/>
        <v>Normal</v>
      </c>
      <c r="P41" t="str">
        <f t="shared" si="1"/>
        <v>Review</v>
      </c>
      <c r="Q41">
        <f t="shared" si="2"/>
        <v>1899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233F-10F2-4683-A529-B311A3D0EE4F}">
  <dimension ref="A1:B6"/>
  <sheetViews>
    <sheetView workbookViewId="0">
      <selection activeCell="B1" sqref="B1"/>
    </sheetView>
  </sheetViews>
  <sheetFormatPr defaultRowHeight="15"/>
  <cols>
    <col min="1" max="1" width="22" customWidth="1"/>
    <col min="2" max="2" width="16.7109375" customWidth="1"/>
  </cols>
  <sheetData>
    <row r="1" spans="1:2">
      <c r="A1" t="s">
        <v>109</v>
      </c>
      <c r="B1" t="s">
        <v>115</v>
      </c>
    </row>
    <row r="2" spans="1:2">
      <c r="A2" t="s">
        <v>110</v>
      </c>
      <c r="B2">
        <f>SUM(ecommerce_sales!M2:M41)</f>
        <v>113030.50000000003</v>
      </c>
    </row>
    <row r="3" spans="1:2">
      <c r="A3" t="s">
        <v>111</v>
      </c>
      <c r="B3">
        <f>SUMIF(ecommerce_sales!D2:D41,"Kochi",ecommerce_sales!M2:M41)</f>
        <v>28571.4</v>
      </c>
    </row>
    <row r="4" spans="1:2">
      <c r="A4" t="s">
        <v>112</v>
      </c>
      <c r="B4">
        <f>SUMIFS(ecommerce_sales!M2:M41,ecommerce_sales!D2:D41,"Kochi",ecommerce_sales!E2:E41,"Electronics")</f>
        <v>19029.300000000003</v>
      </c>
    </row>
    <row r="5" spans="1:2">
      <c r="A5" t="s">
        <v>113</v>
      </c>
      <c r="B5">
        <f>COUNTIF(ecommerce_sales!D2:D41,"Kochi")</f>
        <v>12</v>
      </c>
    </row>
    <row r="6" spans="1:2">
      <c r="A6" t="s">
        <v>114</v>
      </c>
      <c r="B6">
        <f>COUNTIFS(ecommerce_sales!D2:D41,"Kochi",ecommerce_sales!E2:E41,"Electronics")</f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1969-74E7-4B71-95B3-6B2372F49237}">
  <dimension ref="A1:H3"/>
  <sheetViews>
    <sheetView tabSelected="1" workbookViewId="0">
      <selection activeCell="I11" sqref="H11:I11"/>
    </sheetView>
  </sheetViews>
  <sheetFormatPr defaultRowHeight="15"/>
  <cols>
    <col min="1" max="1" width="14.28515625" customWidth="1"/>
    <col min="2" max="2" width="12.28515625" bestFit="1" customWidth="1"/>
    <col min="3" max="3" width="12.140625" customWidth="1"/>
    <col min="6" max="6" width="6.85546875" customWidth="1"/>
    <col min="7" max="7" width="13.7109375" customWidth="1"/>
  </cols>
  <sheetData>
    <row r="1" spans="1:8" ht="23.25">
      <c r="A1" s="3" t="s">
        <v>120</v>
      </c>
    </row>
    <row r="3" spans="1:8" ht="24.75" customHeight="1">
      <c r="A3" s="8" t="s">
        <v>121</v>
      </c>
      <c r="B3" s="4">
        <v>113030.5</v>
      </c>
      <c r="C3" s="8" t="s">
        <v>124</v>
      </c>
      <c r="D3">
        <v>40</v>
      </c>
      <c r="E3" s="8" t="s">
        <v>122</v>
      </c>
      <c r="F3" t="s">
        <v>15</v>
      </c>
      <c r="G3" s="8" t="s">
        <v>123</v>
      </c>
      <c r="H3" t="s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1268-270E-4195-A3C1-E2F081CFE825}">
  <dimension ref="A1"/>
  <sheetViews>
    <sheetView workbookViewId="0">
      <selection activeCell="E8" sqref="E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Sales_By_City</vt:lpstr>
      <vt:lpstr>Sales_by_Channel</vt:lpstr>
      <vt:lpstr>ecommerce_sales</vt:lpstr>
      <vt:lpstr>Formula Analysis</vt:lpstr>
      <vt:lpstr>Dashboard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Balu</dc:creator>
  <cp:lastModifiedBy>Kavya Balu</cp:lastModifiedBy>
  <dcterms:created xsi:type="dcterms:W3CDTF">2026-10-14T06:28:21Z</dcterms:created>
  <dcterms:modified xsi:type="dcterms:W3CDTF">2026-10-16T15:19:09Z</dcterms:modified>
</cp:coreProperties>
</file>